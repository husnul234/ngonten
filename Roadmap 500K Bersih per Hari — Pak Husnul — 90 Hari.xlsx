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1f280297874f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04689e28b094f9a"/>
    <x:sheet xmlns:r="http://schemas.openxmlformats.org/officeDocument/2006/relationships" name="90-Day Revenue Roadmap" sheetId="2" r:id="R7405caea51d146bf"/>
    <x:sheet xmlns:r="http://schemas.openxmlformats.org/officeDocument/2006/relationships" name="Weekly Operating System" sheetId="3" r:id="R51d2544258d240d9"/>
    <x:sheet xmlns:r="http://schemas.openxmlformats.org/officeDocument/2006/relationships" name="Customer Segments" sheetId="4" r:id="R0af13947d3c34191"/>
    <x:sheet xmlns:r="http://schemas.openxmlformats.org/officeDocument/2006/relationships" name="Campaign Planner" sheetId="5" r:id="R2207b9e177b24d7e"/>
    <x:sheet xmlns:r="http://schemas.openxmlformats.org/officeDocument/2006/relationships" name="Affiliate Engine" sheetId="6" r:id="Rb166faa622424f2b"/>
    <x:sheet xmlns:r="http://schemas.openxmlformats.org/officeDocument/2006/relationships" name="KPI Tracker" sheetId="7" r:id="R917202848ab14b26"/>
    <x:sheet xmlns:r="http://schemas.openxmlformats.org/officeDocument/2006/relationships" name="Post &amp; Cuan Integration" sheetId="8" r:id="R77508bc5cc054891"/>
    <x:sheet xmlns:r="http://schemas.openxmlformats.org/officeDocument/2006/relationships" name="YouTube Alignment" sheetId="9" r:id="R210a120eb5e94f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Rp #,##0"/>
    <x:numFmt numFmtId="201" formatCode="0%"/>
    <x:numFmt numFmtId="202" formatCode="0.0"/>
    <x:numFmt numFmtId="203" formatCode="dd mmm yyyy"/>
    <x:numFmt numFmtId="204" formatCode="0"/>
    <x:numFmt numFmtId="205" formatCode="&quot;Rp&quot; #,##0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CBD5E1"/>
      <x:name val="Carlito"/>
    </x:font>
    <x:font>
      <x:b/>
      <x:sz val="11"/>
      <x:color rgb="FFFFFFFF"/>
      <x:name val="Carlito"/>
    </x:font>
    <x:font>
      <x:b/>
      <x:sz val="11"/>
      <x:color rgb="FF1E293B"/>
      <x:name val="Carlito"/>
    </x:font>
    <x:font>
      <x:b/>
      <x:sz val="11"/>
      <x:color rgb="FF0F766E"/>
      <x:name val="Carlito"/>
    </x:font>
    <x:font>
      <x:b/>
      <x:sz val="10"/>
      <x:color rgb="FF1E293B"/>
      <x:name val="Aptos"/>
    </x:font>
    <x:font>
      <x:sz val="10"/>
      <x:color rgb="FF1E293B"/>
      <x:name val="Aptos"/>
    </x:font>
    <x:font>
      <x:i/>
      <x:sz val="10"/>
      <x:color rgb="FF1E293B"/>
      <x:name val="Aptos"/>
    </x:font>
    <x:font>
      <x:b/>
      <x:sz val="18"/>
      <x:color rgb="FFFFFFFF"/>
      <x:name val="Aptos"/>
    </x:font>
    <x:font>
      <x:i/>
      <x:sz val="10"/>
      <x:color rgb="FFCBD5E1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</x:fills>
  <x:borders count="2">
    <x:border/>
    <x:border/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1" fontId="4" fillId="5" borderId="0" xfId="0" applyNumberFormat="1" applyFont="1" applyFill="1" applyBorder="1" applyAlignment="1">
      <x:alignment vertical="top" wrapText="1"/>
    </x:xf>
    <x:xf numFmtId="201" fontId="4" fillId="5" borderId="1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201" fontId="6" fillId="5" borderId="0" xfId="0" applyNumberFormat="1" applyFont="1" applyFill="1" applyBorder="1" applyAlignment="1">
      <x:alignment vertical="top" wrapText="1"/>
    </x:xf>
    <x:xf numFmtId="200" fontId="6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202" fontId="7" fillId="0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left" vertical="center"/>
    </x:xf>
    <x:xf numFmtId="0" fontId="7" fillId="0" borderId="1" xfId="0" applyNumberFormat="1" applyFont="1" applyFill="1" applyBorder="1"/>
    <x:xf numFmtId="0" fontId="8" fillId="3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201" fontId="6" fillId="5" borderId="1" xfId="0" applyNumberFormat="1" applyFont="1" applyFill="1" applyBorder="1" applyAlignment="1">
      <x:alignment vertical="top" wrapText="1"/>
    </x:xf>
    <x:xf numFmtId="200" fontId="6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3" fontId="7" fillId="0" borderId="0" xfId="0" applyNumberFormat="1" applyFont="1" applyFill="1" applyBorder="1" applyAlignment="1">
      <x:alignment vertical="top" wrapText="1"/>
    </x:xf>
    <x:xf numFmtId="203" fontId="7" fillId="0" borderId="1" xfId="0" applyNumberFormat="1" applyFont="1" applyFill="1" applyBorder="1" applyAlignment="1">
      <x:alignment vertical="top" wrapText="1"/>
    </x:xf>
    <x:xf numFmtId="204" fontId="7" fillId="0" borderId="0" xfId="0" applyNumberFormat="1" applyFont="1" applyFill="1" applyBorder="1" applyAlignment="1">
      <x:alignment vertical="top" wrapText="1"/>
    </x:xf>
    <x:xf numFmtId="204" fontId="7" fillId="0" borderId="1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9" fillId="2" borderId="1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1" fillId="4" borderId="1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horizontal="center" vertical="center" wrapText="1"/>
    </x:xf>
    <x:xf numFmtId="0" fontId="12" fillId="3" borderId="1" xfId="0" applyNumberFormat="1" applyFont="1" applyFill="1" applyBorder="1" applyAlignment="1">
      <x:alignment horizontal="center" vertical="center" wrapText="1"/>
    </x:xf>
    <x:xf numFmtId="205" fontId="7" fillId="0" borderId="0" xfId="0" applyNumberFormat="1" applyFont="1" applyFill="1" applyBorder="1" applyAlignment="1">
      <x:alignment vertical="top" wrapText="1"/>
    </x:xf>
    <x:xf numFmtId="205" fontId="7" fillId="0" borderId="1" xfId="0" applyNumberFormat="1" applyFont="1" applyFill="1" applyBorder="1" applyAlignment="1">
      <x:alignment vertical="top" wrapText="1"/>
    </x:xf>
    <x:xf numFmtId="205" fontId="7" fillId="0" borderId="0" xfId="0" applyNumberFormat="1" applyFont="1" applyFill="1" applyBorder="1"/>
    <x:xf numFmtId="205" fontId="11" fillId="4" borderId="0" xfId="0" applyNumberFormat="1" applyFont="1" applyFill="1" applyBorder="1" applyAlignment="1">
      <x:alignment vertical="center"/>
    </x:xf>
    <x:xf numFmtId="205" fontId="7" fillId="0" borderId="1" xfId="0" applyNumberFormat="1" applyFont="1" applyFill="1" applyBorder="1"/>
    <x:xf numFmtId="205" fontId="11" fillId="4" borderId="1" xfId="0" applyNumberFormat="1" applyFont="1" applyFill="1" applyBorder="1" applyAlignment="1">
      <x:alignment vertical="center"/>
    </x:xf>
    <x:xf numFmtId="205" fontId="6" fillId="5" borderId="0" xfId="0" applyNumberFormat="1" applyFont="1" applyFill="1" applyBorder="1" applyAlignment="1">
      <x:alignment vertical="top" wrapText="1"/>
    </x:xf>
    <x:xf numFmtId="205" fontId="6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3d6f2b7910406e" /><Relationship Type="http://schemas.openxmlformats.org/officeDocument/2006/relationships/theme" Target="/xl/theme/theme1.xml" Id="Ra4e61cd9d6a647fd" /><Relationship Type="http://schemas.openxmlformats.org/officeDocument/2006/relationships/sharedStrings" Target="/xl/sharedStrings.xml" Id="Ra09808a6e8f444bc" /><Relationship Type="http://schemas.openxmlformats.org/officeDocument/2006/relationships/worksheet" Target="/xl/worksheets/sheet1.xml" Id="R104689e28b094f9a" /><Relationship Type="http://schemas.openxmlformats.org/officeDocument/2006/relationships/worksheet" Target="/xl/worksheets/sheet2.xml" Id="R7405caea51d146bf" /><Relationship Type="http://schemas.openxmlformats.org/officeDocument/2006/relationships/worksheet" Target="/xl/worksheets/sheet3.xml" Id="R51d2544258d240d9" /><Relationship Type="http://schemas.openxmlformats.org/officeDocument/2006/relationships/worksheet" Target="/xl/worksheets/sheet4.xml" Id="R0af13947d3c34191" /><Relationship Type="http://schemas.openxmlformats.org/officeDocument/2006/relationships/worksheet" Target="/xl/worksheets/sheet5.xml" Id="R2207b9e177b24d7e" /><Relationship Type="http://schemas.openxmlformats.org/officeDocument/2006/relationships/worksheet" Target="/xl/worksheets/sheet6.xml" Id="Rb166faa622424f2b" /><Relationship Type="http://schemas.openxmlformats.org/officeDocument/2006/relationships/worksheet" Target="/xl/worksheets/sheet7.xml" Id="R917202848ab14b26" /><Relationship Type="http://schemas.openxmlformats.org/officeDocument/2006/relationships/worksheet" Target="/xl/worksheets/sheet8.xml" Id="R77508bc5cc054891" /><Relationship Type="http://schemas.openxmlformats.org/officeDocument/2006/relationships/worksheet" Target="/xl/worksheets/sheet9.xml" Id="R210a120eb5e94f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318e82a6ca44d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13-Week Net Target vs Actual</a:t>
            </a:r>
          </a:p>
        </c:rich>
      </c:tx>
    </c:title>
    <c:plotArea>
      <c:lineChart>
        <c:grouping val="standard"/>
        <c:ser>
          <c:idx val="0"/>
          <c:order val="0"/>
          <c:tx>
            <c:v>Net Target</c:v>
          </c:tx>
          <c:marker>
            <c:symbol val="none"/>
          </c:marker>
          <c:cat>
            <c:strRef>
              <c:f>'KPI Tracker'!$A$5:$A$17</c:f>
              <c:strCache>
                <c:ptCount val="0"/>
              </c:strCache>
            </c:strRef>
          </c:cat>
          <c:val>
            <c:numRef>
              <c:f>'KPI Tracker'!$E$5:$E$17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Net Actual</c:v>
          </c:tx>
          <c:marker>
            <c:symbol val="none"/>
          </c:marker>
          <c:cat>
            <c:strRef>
              <c:f>'KPI Tracker'!$A$5:$A$17</c:f>
              <c:strCache>
                <c:ptCount val="0"/>
              </c:strCache>
            </c:strRef>
          </c:cat>
          <c:val>
            <c:numRef>
              <c:f>'KPI Tracker'!$J$5:$J$17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24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318e82a6ca44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bd5b821d9f462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" hidden="0" customWidth="1"/>
    <x:col min="4" max="4" width="24" hidden="0" customWidth="1"/>
    <x:col min="5" max="5" width="20" hidden="0" customWidth="1"/>
    <x:col min="6" max="6" width="14" hidden="0" customWidth="1"/>
    <x:col min="7" max="7" width="16" hidden="0" customWidth="1"/>
    <x:col min="8" max="8" width="20" hidden="0" customWidth="1"/>
  </x:cols>
  <x:sheetData>
    <x:row r="1" ht="32" customHeight="1">
      <x:c r="A1" s="91" t="str">
        <x:v>ROADMAP 500K BERSIH / HARI — PAK HUSNUL</x:v>
      </x:c>
      <x:c r="B1" s="91"/>
      <x:c r="C1" s="91"/>
      <x:c r="D1" s="91"/>
      <x:c r="E1" s="91"/>
      <x:c r="F1" s="91"/>
      <x:c r="G1" s="91"/>
      <x:c r="H1" s="91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</x:row>
    <x:row r="2" ht="22" customHeight="1">
      <x:c r="A2" s="93" t="str">
        <x:v>90-Day Revenue Operating System | Hero Product: ModulAjar + BuatSoal | Organic-first + Affiliate</x:v>
      </x:c>
      <x:c r="B2" s="93"/>
      <x:c r="C2" s="93"/>
      <x:c r="D2" s="93"/>
      <x:c r="E2" s="93"/>
      <x:c r="F2" s="93"/>
      <x:c r="G2" s="93"/>
      <x:c r="H2" s="93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  <x:c r="U3" s="60"/>
      <x:c r="V3" s="60"/>
      <x:c r="W3" s="60"/>
      <x:c r="X3" s="60"/>
      <x:c r="Y3" s="60"/>
      <x:c r="Z3" s="60"/>
    </x:row>
    <x:row r="4" ht="22" customHeight="1">
      <x:c r="A4" s="95" t="str">
        <x:v>INPUT &amp; ASUMSI — EDIT JIKA BERUBAH</x:v>
      </x:c>
      <x:c r="B4" s="95"/>
      <x:c r="C4" s="60"/>
      <x:c r="D4" s="95" t="str">
        <x:v>HERO PRODUCT &amp; ASUMSI MIX</x:v>
      </x:c>
      <x:c r="E4" s="95"/>
      <x:c r="F4" s="95"/>
      <x:c r="G4" s="95"/>
      <x:c r="H4" s="60"/>
      <x:c r="I4" s="60"/>
      <x:c r="J4" s="60"/>
      <x:c r="K4" s="60"/>
      <x:c r="L4" s="60"/>
      <x:c r="M4" s="60"/>
      <x:c r="N4" s="60"/>
      <x:c r="O4" s="60"/>
      <x:c r="P4" s="60"/>
      <x:c r="Q4" s="60"/>
      <x:c r="R4" s="60"/>
      <x:c r="S4" s="60"/>
      <x:c r="T4" s="60"/>
      <x:c r="U4" s="60"/>
      <x:c r="V4" s="60"/>
      <x:c r="W4" s="60"/>
      <x:c r="X4" s="60"/>
      <x:c r="Y4" s="60"/>
      <x:c r="Z4" s="60"/>
    </x:row>
    <x:row r="5" ht="30" customHeight="1">
      <x:c r="A5" s="63" t="str">
        <x:v>Target bersih / hari</x:v>
      </x:c>
      <x:c r="B5" s="99" t="n">
        <x:v>500000</x:v>
      </x:c>
      <x:c r="C5" s="60"/>
      <x:c r="D5" s="97" t="str">
        <x:v>Produk</x:v>
      </x:c>
      <x:c r="E5" s="97" t="str">
        <x:v>Harga</x:v>
      </x:c>
      <x:c r="F5" s="97" t="str">
        <x:v>Mix</x:v>
      </x:c>
      <x:c r="G5" s="97" t="str">
        <x:v>Weighted</x:v>
      </x:c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0"/>
      <x:c r="Z5" s="60"/>
    </x:row>
    <x:row r="6">
      <x:c r="A6" s="63" t="str">
        <x:v>Hari / bulan</x:v>
      </x:c>
      <x:c r="B6" s="99" t="n">
        <x:v>30</x:v>
      </x:c>
      <x:c r="C6" s="60"/>
      <x:c r="D6" s="66" t="str">
        <x:v>ModulAjar Online</x:v>
      </x:c>
      <x:c r="E6" s="99" t="n">
        <x:v>149000</x:v>
      </x:c>
      <x:c r="F6" s="67" t="n">
        <x:v>0.4</x:v>
      </x:c>
      <x:c r="G6" s="99" t="n">
        <x:f>E6*F6</x:f>
        <x:v>59600</x:v>
      </x:c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0"/>
      <x:c r="Z6" s="60"/>
    </x:row>
    <x:row r="7">
      <x:c r="A7" s="63" t="str">
        <x:v>Langganan AI / produk / bulan</x:v>
      </x:c>
      <x:c r="B7" s="99" t="n">
        <x:v>350000</x:v>
      </x:c>
      <x:c r="C7" s="60"/>
      <x:c r="D7" s="66" t="str">
        <x:v>BuatSoal Online Pro</x:v>
      </x:c>
      <x:c r="E7" s="99" t="n">
        <x:v>149000</x:v>
      </x:c>
      <x:c r="F7" s="67" t="n">
        <x:v>0.4</x:v>
      </x:c>
      <x:c r="G7" s="99" t="n">
        <x:f>E7*F7</x:f>
        <x:v>59600</x:v>
      </x:c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>
      <x:c r="A8" s="63" t="str">
        <x:v>Jumlah hero product</x:v>
      </x:c>
      <x:c r="B8" s="99" t="n">
        <x:v>2</x:v>
      </x:c>
      <x:c r="C8" s="60"/>
      <x:c r="D8" s="66" t="str">
        <x:v>BuatSoal Online Max</x:v>
      </x:c>
      <x:c r="E8" s="99" t="n">
        <x:v>249000</x:v>
      </x:c>
      <x:c r="F8" s="67" t="n">
        <x:v>0.2</x:v>
      </x:c>
      <x:c r="G8" s="99" t="n">
        <x:f>E8*F8</x:f>
        <x:v>49800</x:v>
      </x:c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>
      <x:c r="A9" s="63" t="str">
        <x:v>Domain / produk / tahun</x:v>
      </x:c>
      <x:c r="B9" s="99" t="n">
        <x:v>250000</x:v>
      </x:c>
      <x:c r="C9" s="60"/>
      <x:c r="D9" s="68" t="str">
        <x:v>TOTAL / AOV</x:v>
      </x:c>
      <x:c r="E9" s="68"/>
      <x:c r="F9" s="69" t="n">
        <x:v>1</x:v>
      </x:c>
      <x:c r="G9" s="105" t="n">
        <x:f>SUM(G6:G8)</x:f>
        <x:v>169000</x:v>
      </x:c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>
      <x:c r="A10" s="63" t="str">
        <x:v>Komisi affiliate</x:v>
      </x:c>
      <x:c r="B10" s="67" t="n">
        <x:v>0.4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>
      <x:c r="A11" s="63" t="str">
        <x:v>Asumsi porsi gross dari affiliate</x:v>
      </x:c>
      <x:c r="B11" s="67" t="n">
        <x:v>0.25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 ht="22" customHeight="1">
      <x:c r="A12" s="63" t="str">
        <x:v>Weighted AOV</x:v>
      </x:c>
      <x:c r="B12" s="99" t="n">
        <x:f>G9</x:f>
        <x:v>169000</x:v>
      </x:c>
      <x:c r="C12" s="60"/>
      <x:c r="D12" s="95" t="str">
        <x:v>TARGET PER FASE</x:v>
      </x:c>
      <x:c r="E12" s="95"/>
      <x:c r="F12" s="95"/>
      <x:c r="G12" s="95"/>
      <x:c r="H12" s="95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 ht="30" customHeight="1">
      <x:c r="A13" s="60"/>
      <x:c r="B13" s="101"/>
      <x:c r="C13" s="60"/>
      <x:c r="D13" s="97" t="str">
        <x:v>Fase</x:v>
      </x:c>
      <x:c r="E13" s="97" t="str">
        <x:v>Hari</x:v>
      </x:c>
      <x:c r="F13" s="97" t="str">
        <x:v>Net / Hari</x:v>
      </x:c>
      <x:c r="G13" s="97" t="str">
        <x:v>Net 30 Hari</x:v>
      </x:c>
      <x:c r="H13" s="97" t="str">
        <x:v>Gross / Minggu</x:v>
      </x:c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 ht="22" customHeight="1">
      <x:c r="A14" s="95" t="str">
        <x:v>TARGET EKONOMI</x:v>
      </x:c>
      <x:c r="B14" s="102"/>
      <x:c r="C14" s="60"/>
      <x:c r="D14" s="66" t="str">
        <x:v>Fase 1</x:v>
      </x:c>
      <x:c r="E14" s="66" t="str">
        <x:v>Hari 1–30</x:v>
      </x:c>
      <x:c r="F14" s="99" t="n">
        <x:v>350000</x:v>
      </x:c>
      <x:c r="G14" s="99" t="n">
        <x:f>F14*$B$6</x:f>
        <x:v>10500000</x:v>
      </x:c>
      <x:c r="H14" s="99" t="n">
        <x:f>((F14*7)+($B$16/$B$6*7))/$B$17</x:f>
        <x:v>2914506.2592592593</x:v>
      </x:c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>
      <x:c r="A15" s="63" t="str">
        <x:v>Target bersih / bulan</x:v>
      </x:c>
      <x:c r="B15" s="99" t="n">
        <x:f>B5*B6</x:f>
        <x:v>15000000</x:v>
      </x:c>
      <x:c r="C15" s="60"/>
      <x:c r="D15" s="66" t="str">
        <x:v>Fase 2</x:v>
      </x:c>
      <x:c r="E15" s="66" t="str">
        <x:v>Hari 31–60</x:v>
      </x:c>
      <x:c r="F15" s="99" t="n">
        <x:v>425000</x:v>
      </x:c>
      <x:c r="G15" s="99" t="n">
        <x:f>F15*$B$6</x:f>
        <x:v>12750000</x:v>
      </x:c>
      <x:c r="H15" s="99" t="n">
        <x:f>((F15*7)+($B$16/$B$6*7))/$B$17</x:f>
        <x:v>3497839.5925925924</x:v>
      </x:c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>
      <x:c r="A16" s="63" t="str">
        <x:v>Fixed cost / bulan</x:v>
      </x:c>
      <x:c r="B16" s="99" t="n">
        <x:f>ROUND(B7*B8+(B9*B8/12),0)</x:f>
        <x:v>741667</x:v>
      </x:c>
      <x:c r="C16" s="60"/>
      <x:c r="D16" s="66" t="str">
        <x:v>Fase 3</x:v>
      </x:c>
      <x:c r="E16" s="66" t="str">
        <x:v>Hari 61–90</x:v>
      </x:c>
      <x:c r="F16" s="99" t="n">
        <x:v>500000</x:v>
      </x:c>
      <x:c r="G16" s="99" t="n">
        <x:f>F16*$B$6</x:f>
        <x:v>15000000</x:v>
      </x:c>
      <x:c r="H16" s="99" t="n">
        <x:f>((F16*7)+($B$16/$B$6*7))/$B$17</x:f>
        <x:v>4081172.925925926</x:v>
      </x:c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>
      <x:c r="A17" s="63" t="str">
        <x:v>Retained factor setelah affiliate</x:v>
      </x:c>
      <x:c r="B17" s="67" t="n">
        <x:f>1-(B10*B11)</x:f>
        <x:v>0.9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 ht="22" customHeight="1">
      <x:c r="A18" s="63" t="str">
        <x:v>Target gross / bulan</x:v>
      </x:c>
      <x:c r="B18" s="99" t="n">
        <x:f>ROUND((B15+B16)/B17,0)</x:f>
        <x:v>17490741</x:v>
      </x:c>
      <x:c r="C18" s="60"/>
      <x:c r="D18" s="95" t="str">
        <x:v>ATURAN STRATEGIS</x:v>
      </x:c>
      <x:c r="E18" s="95"/>
      <x:c r="F18" s="95"/>
      <x:c r="G18" s="95"/>
      <x:c r="H18" s="95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>
      <x:c r="A19" s="63" t="str">
        <x:v>Target gross / minggu</x:v>
      </x:c>
      <x:c r="B19" s="99" t="n">
        <x:f>ROUND((B18/B6)*7,0)</x:f>
        <x:v>4081173</x:v>
      </x:c>
      <x:c r="C19" s="60"/>
      <x:c r="D19" s="71" t="str">
        <x:v>1</x:v>
      </x:c>
      <x:c r="E19" s="66" t="str">
        <x:v>80% marketing effort → ModulAjar + BuatSoal; produk lain = bonus/cross-sell/campaign khusus.</x:v>
      </x:c>
      <x:c r="F19" s="66"/>
      <x:c r="G19" s="66"/>
      <x:c r="H19" s="66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>
      <x:c r="A20" s="63" t="str">
        <x:v>Kebutuhan transaksi / bulan</x:v>
      </x:c>
      <x:c r="B20" s="72" t="n">
        <x:f>B18/B12</x:f>
        <x:v>103.49550887573965</x:v>
      </x:c>
      <x:c r="C20" s="60"/>
      <x:c r="D20" s="71" t="str">
        <x:v>2</x:v>
      </x:c>
      <x:c r="E20" s="66" t="str">
        <x:v>Jangan tambah kalender YouTube di workbook ini. Semua YouTube mengikuti file “YouTube Growth Plan — Pak Husnul — 90 Hari”.</x:v>
      </x:c>
      <x:c r="F20" s="66"/>
      <x:c r="G20" s="66"/>
      <x:c r="H20" s="66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>
      <x:c r="A21" s="63" t="str">
        <x:v>Kebutuhan transaksi / hari</x:v>
      </x:c>
      <x:c r="B21" s="72" t="n">
        <x:f>B20/B6</x:f>
        <x:v>3.449850295857988</x:v>
      </x:c>
      <x:c r="C21" s="60"/>
      <x:c r="D21" s="71" t="str">
        <x:v>3</x:v>
      </x:c>
      <x:c r="E21" s="66" t="str">
        <x:v>Post &amp; Cuan tetap source of truth harian. Workbook ini hanya roll-up mingguan + keputusan revenue.</x:v>
      </x:c>
      <x:c r="F21" s="66"/>
      <x:c r="G21" s="66"/>
      <x:c r="H21" s="66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>
      <x:c r="A22" s="63" t="str">
        <x:v>Kebutuhan transaksi / minggu</x:v>
      </x:c>
      <x:c r="B22" s="72" t="n">
        <x:f>B21*7</x:f>
        <x:v>24.148952071005915</x:v>
      </x:c>
      <x:c r="C22" s="60"/>
      <x:c r="D22" s="71" t="str">
        <x:v>4</x:v>
      </x:c>
      <x:c r="E22" s="66" t="str">
        <x:v>Promo diskon hanya event tertentu. Default campaign = harga normal + value/bonus/proof.</x:v>
      </x:c>
      <x:c r="F22" s="66"/>
      <x:c r="G22" s="66"/>
      <x:c r="H22" s="66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>
      <x:c r="A23" s="60"/>
      <x:c r="B23" s="60"/>
      <x:c r="C23" s="60"/>
      <x:c r="D23" s="71" t="str">
        <x:v>5</x:v>
      </x:c>
      <x:c r="E23" s="66" t="str">
        <x:v>Target utama = rolling 30 hari / mingguan; bukan memaksa Rp500K masuk tepat setiap hari.</x:v>
      </x:c>
      <x:c r="F23" s="66"/>
      <x:c r="G23" s="66"/>
      <x:c r="H23" s="66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</x:sheetData>
  <x:mergeCells>
    <x:mergeCell ref="A1:H1"/>
    <x:mergeCell ref="A2:H2"/>
    <x:mergeCell ref="A4:B4"/>
    <x:mergeCell ref="D4:G4"/>
    <x:mergeCell ref="A14:B14"/>
    <x:mergeCell ref="D12:H12"/>
    <x:mergeCell ref="D18:H18"/>
    <x:mergeCell ref="E19:H19"/>
    <x:mergeCell ref="E20:H20"/>
    <x:mergeCell ref="E21:H21"/>
    <x:mergeCell ref="E22:H22"/>
    <x:mergeCell ref="E23:H23"/>
  </x:mergeCells>
  <x:pageMargins left="0.7" right="0.7" top="0.75" bottom="0.75" header="0.3" footer="0.3"/>
  <x:drawing xmlns:r="http://schemas.openxmlformats.org/officeDocument/2006/relationships" r:id="Rfabd5b821d9f462e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13" hidden="0" customWidth="1"/>
    <x:col min="4" max="4" width="12" hidden="0" customWidth="1"/>
    <x:col min="5" max="5" width="20" hidden="0" customWidth="1"/>
    <x:col min="6" max="6" width="24" hidden="0" customWidth="1"/>
    <x:col min="7" max="7" width="20" hidden="0" customWidth="1"/>
    <x:col min="8" max="8" width="38" hidden="0" customWidth="1"/>
    <x:col min="9" max="9" width="32" hidden="0" customWidth="1"/>
    <x:col min="10" max="10" width="32" hidden="0" customWidth="1"/>
    <x:col min="11" max="11" width="42" hidden="0" customWidth="1"/>
    <x:col min="12" max="12" width="17" hidden="0" customWidth="1"/>
    <x:col min="13" max="13" width="18" hidden="0" customWidth="1"/>
    <x:col min="14" max="14" width="14" hidden="0" customWidth="1"/>
  </x:cols>
  <x:sheetData>
    <x:row r="1" ht="32" customHeight="1">
      <x:c r="A1" s="91" t="str">
        <x:v>90-DAY REVENUE ROADMAP</x:v>
      </x:c>
      <x:c r="B1" s="91"/>
      <x:c r="C1" s="91"/>
      <x:c r="D1" s="91"/>
      <x:c r="E1" s="91"/>
      <x:c r="F1" s="91"/>
      <x:c r="G1" s="91"/>
      <x:c r="H1" s="91"/>
      <x:c r="I1" s="91"/>
      <x:c r="J1" s="91"/>
      <x:c r="K1" s="91"/>
      <x:c r="L1" s="91"/>
      <x:c r="M1" s="91"/>
      <x:c r="N1" s="91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</x:row>
    <x:row r="2" ht="22" customHeight="1">
      <x:c r="A2" s="93" t="str">
        <x:v>Tanggal diselaraskan dengan YouTube Growth Plan; revenue roadmap tidak menambah kewajiban upload YouTube.</x:v>
      </x:c>
      <x:c r="B2" s="93"/>
      <x:c r="C2" s="93"/>
      <x:c r="D2" s="93"/>
      <x:c r="E2" s="93"/>
      <x:c r="F2" s="93"/>
      <x:c r="G2" s="93"/>
      <x:c r="H2" s="93"/>
      <x:c r="I2" s="93"/>
      <x:c r="J2" s="93"/>
      <x:c r="K2" s="93"/>
      <x:c r="L2" s="93"/>
      <x:c r="M2" s="93"/>
      <x:c r="N2" s="93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  <x:c r="U3" s="60"/>
      <x:c r="V3" s="60"/>
      <x:c r="W3" s="60"/>
      <x:c r="X3" s="60"/>
      <x:c r="Y3" s="60"/>
      <x:c r="Z3" s="60"/>
    </x:row>
    <x:row r="4" ht="38" customHeight="1">
      <x:c r="A4" s="97" t="str">
        <x:v>Week</x:v>
      </x:c>
      <x:c r="B4" s="97" t="str">
        <x:v>Mulai</x:v>
      </x:c>
      <x:c r="C4" s="97" t="str">
        <x:v>Selesai</x:v>
      </x:c>
      <x:c r="D4" s="97" t="str">
        <x:v>Fase</x:v>
      </x:c>
      <x:c r="E4" s="97" t="str">
        <x:v>Fokus Revenue</x:v>
      </x:c>
      <x:c r="F4" s="97" t="str">
        <x:v>Primary Campaign</x:v>
      </x:c>
      <x:c r="G4" s="97" t="str">
        <x:v>Audience Utama</x:v>
      </x:c>
      <x:c r="H4" s="97" t="str">
        <x:v>Key Revenue Action</x:v>
      </x:c>
      <x:c r="I4" s="97" t="str">
        <x:v>Affiliate Action</x:v>
      </x:c>
      <x:c r="J4" s="97" t="str">
        <x:v>WA / Lead Action</x:v>
      </x:c>
      <x:c r="K4" s="97" t="str">
        <x:v>Koordinasi YouTube (NO OVERLAP)</x:v>
      </x:c>
      <x:c r="L4" s="97" t="str">
        <x:v>Net Target / Minggu</x:v>
      </x:c>
      <x:c r="M4" s="97" t="str">
        <x:v>Gross Target / Minggu</x:v>
      </x:c>
      <x:c r="N4" s="97" t="str">
        <x:v>Status</x:v>
      </x:c>
      <x:c r="O4" s="60"/>
      <x:c r="P4" s="60"/>
      <x:c r="Q4" s="60"/>
      <x:c r="R4" s="60"/>
      <x:c r="S4" s="60"/>
      <x:c r="T4" s="60"/>
      <x:c r="U4" s="60"/>
      <x:c r="V4" s="60"/>
      <x:c r="W4" s="60"/>
      <x:c r="X4" s="60"/>
      <x:c r="Y4" s="60"/>
      <x:c r="Z4" s="60"/>
    </x:row>
    <x:row r="5" ht="58" customHeight="1">
      <x:c r="A5" s="66" t="n">
        <x:v>1</x:v>
      </x:c>
      <x:c r="B5" s="87" t="n">
        <x:v>46251</x:v>
      </x:c>
      <x:c r="C5" s="87" t="n">
        <x:v>46257</x:v>
      </x:c>
      <x:c r="D5" s="66" t="str">
        <x:v>Fase 1</x:v>
      </x:c>
      <x:c r="E5" s="66" t="str">
        <x:v>Reset &amp; tracking</x:v>
      </x:c>
      <x:c r="F5" s="66" t="str">
        <x:v>Post &amp; Cuan reset + segmentasi</x:v>
      </x:c>
      <x:c r="G5" s="66" t="str">
        <x:v>Seluruh customer existing</x:v>
      </x:c>
      <x:c r="H5" s="66" t="str">
        <x:v>Backfill uang Juli–Agustus seperlunya; segmentasi ModulAjar/BuatSoal; promo Merdeka selesai 17 Agu.</x:v>
      </x:c>
      <x:c r="I5" s="66" t="str">
        <x:v>Audit affiliate aktif; jangan rekrut besar dulu.</x:v>
      </x:c>
      <x:c r="J5" s="66" t="str">
        <x:v>Tidak jualan keras 18 Agu; rapikan segment &amp; next campaign.</x:v>
      </x:c>
      <x:c r="K5" s="66" t="str">
        <x:v>Ikuti YT Plan Week 1. Revenue hanya pasang CTA/lead magnet pada aset yang memang dibuat.</x:v>
      </x:c>
      <x:c r="L5" s="99" t="n">
        <x:v>2450000</x:v>
      </x:c>
      <x:c r="M5" s="99" t="n">
        <x:f>(L5+(Dashboard!$B$16/Dashboard!$B$6*7))/Dashboard!$B$17</x:f>
        <x:v>2914506.2592592593</x:v>
      </x:c>
      <x:c r="N5" s="66" t="str">
        <x:v>Planned</x:v>
      </x:c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0"/>
      <x:c r="Z5" s="60"/>
    </x:row>
    <x:row r="6" ht="58" customHeight="1">
      <x:c r="A6" s="66" t="n">
        <x:v>2</x:v>
      </x:c>
      <x:c r="B6" s="87" t="n">
        <x:v>46258</x:v>
      </x:c>
      <x:c r="C6" s="87" t="n">
        <x:v>46264</x:v>
      </x:c>
      <x:c r="D6" s="66" t="str">
        <x:v>Fase 1</x:v>
      </x:c>
      <x:c r="E6" s="66" t="str">
        <x:v>Cross-sell #1</x:v>
      </x:c>
      <x:c r="F6" s="66" t="str">
        <x:v>ModulAjar → BuatSoal</x:v>
      </x:c>
      <x:c r="G6" s="66" t="str">
        <x:v>ModulAjar-only</x:v>
      </x:c>
      <x:c r="H6" s="66" t="str">
        <x:v>Campaign edukasi: setelah modul selesai, lanjut ke asesmen. Offer BuatSoal normal price.</x:v>
      </x:c>
      <x:c r="I6" s="66" t="str">
        <x:v>Affiliate fokus ModulAjar/BuatSoal; beri angle problem-solution.</x:v>
      </x:c>
      <x:c r="J6" s="66" t="str">
        <x:v>WA sequence 4–5 sentuhan: edukasi → demo → proof → offer.</x:v>
      </x:c>
      <x:c r="K6" s="66" t="str">
        <x:v>Gunakan output YT minggu ini sebagai proof/repurpose bila relevan; jangan buat video YouTube tambahan.</x:v>
      </x:c>
      <x:c r="L6" s="99" t="n">
        <x:v>2450000</x:v>
      </x:c>
      <x:c r="M6" s="99" t="n">
        <x:f>(L6+(Dashboard!$B$16/Dashboard!$B$6*7))/Dashboard!$B$17</x:f>
        <x:v>2914506.2592592593</x:v>
      </x:c>
      <x:c r="N6" s="66" t="str">
        <x:v>Planned</x:v>
      </x:c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0"/>
      <x:c r="Z6" s="60"/>
    </x:row>
    <x:row r="7" ht="58" customHeight="1">
      <x:c r="A7" s="66" t="n">
        <x:v>3</x:v>
      </x:c>
      <x:c r="B7" s="87" t="n">
        <x:v>46265</x:v>
      </x:c>
      <x:c r="C7" s="87" t="n">
        <x:v>46271</x:v>
      </x:c>
      <x:c r="D7" s="66" t="str">
        <x:v>Fase 1</x:v>
      </x:c>
      <x:c r="E7" s="66" t="str">
        <x:v>Acquisition sprint</x:v>
      </x:c>
      <x:c r="F7" s="66" t="str">
        <x:v>Lead magnet masuk WA</x:v>
      </x:c>
      <x:c r="G7" s="66" t="str">
        <x:v>Cold/warm audience baru</x:v>
      </x:c>
      <x:c r="H7" s="66" t="str">
        <x:v>Aktifkan 1 lead magnet high-intent dan tracking sumber lead.</x:v>
      </x:c>
      <x:c r="I7" s="66" t="str">
        <x:v>Minta affiliate kirim traffic ke hero product / lead asset yang disepakati.</x:v>
      </x:c>
      <x:c r="J7" s="66" t="str">
        <x:v>TikTok/Threads → lead magnet → Guru Mahir AI.</x:v>
      </x:c>
      <x:c r="K7" s="66" t="str">
        <x:v>YouTube tetap mengikuti plan. Potong/reuse aset YT untuk TikTok/Threads, bukan produksi topik baru.</x:v>
      </x:c>
      <x:c r="L7" s="99" t="n">
        <x:v>2450000</x:v>
      </x:c>
      <x:c r="M7" s="99" t="n">
        <x:f>(L7+(Dashboard!$B$16/Dashboard!$B$6*7))/Dashboard!$B$17</x:f>
        <x:v>2914506.2592592593</x:v>
      </x:c>
      <x:c r="N7" s="66" t="str">
        <x:v>Planned</x:v>
      </x:c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 ht="58" customHeight="1">
      <x:c r="A8" s="66" t="n">
        <x:v>4</x:v>
      </x:c>
      <x:c r="B8" s="87" t="n">
        <x:v>46272</x:v>
      </x:c>
      <x:c r="C8" s="87" t="n">
        <x:v>46278</x:v>
      </x:c>
      <x:c r="D8" s="66" t="str">
        <x:v>Fase 1</x:v>
      </x:c>
      <x:c r="E8" s="66" t="str">
        <x:v>Upgrade campaign</x:v>
      </x:c>
      <x:c r="F8" s="66" t="str">
        <x:v>BuatSoal Pro → Max</x:v>
      </x:c>
      <x:c r="G8" s="66" t="str">
        <x:v>±100 user Pro</x:v>
      </x:c>
      <x:c r="H8" s="66" t="str">
        <x:v>Offer upgrade bayar selisih jika arsitektur produk memungkinkan; target 15–20 upgrade.</x:v>
      </x:c>
      <x:c r="I8" s="66" t="str">
        <x:v>Affiliate tidak jadi fokus utama untuk upgrade existing buyer.</x:v>
      </x:c>
      <x:c r="J8" s="66" t="str">
        <x:v>FAQ + demo pembeda Pro vs Max + CTA upgrade.</x:v>
      </x:c>
      <x:c r="K8" s="66" t="str">
        <x:v>Jangan jadwalkan live/video YT tambahan; gunakan demo yang sudah ada.</x:v>
      </x:c>
      <x:c r="L8" s="99" t="n">
        <x:v>2450000</x:v>
      </x:c>
      <x:c r="M8" s="99" t="n">
        <x:f>(L8+(Dashboard!$B$16/Dashboard!$B$6*7))/Dashboard!$B$17</x:f>
        <x:v>2914506.2592592593</x:v>
      </x:c>
      <x:c r="N8" s="66" t="str">
        <x:v>Planned</x:v>
      </x:c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 ht="58" customHeight="1">
      <x:c r="A9" s="66" t="n">
        <x:v>5</x:v>
      </x:c>
      <x:c r="B9" s="87" t="n">
        <x:v>46279</x:v>
      </x:c>
      <x:c r="C9" s="87" t="n">
        <x:v>46285</x:v>
      </x:c>
      <x:c r="D9" s="66" t="str">
        <x:v>Fase 2</x:v>
      </x:c>
      <x:c r="E9" s="66" t="str">
        <x:v>Lead Magnet Engine</x:v>
      </x:c>
      <x:c r="F9" s="66" t="str">
        <x:v>2 jalur lead magnet</x:v>
      </x:c>
      <x:c r="G9" s="66" t="str">
        <x:v>Audience baru</x:v>
      </x:c>
      <x:c r="H9" s="66" t="str">
        <x:v>Pisahkan lead magnet ModulAjar vs BuatSoal agar intent lebih jelas.</x:v>
      </x:c>
      <x:c r="I9" s="66" t="str">
        <x:v>Berikan affiliate landing/angle khusus per hero product.</x:v>
      </x:c>
      <x:c r="J9" s="66" t="str">
        <x:v>Target +150–200 lead baru/bulan mulai fase ini.</x:v>
      </x:c>
      <x:c r="K9" s="66" t="str">
        <x:v>YT = discovery/authority. Revenue workbook hanya menentukan destination CTA.</x:v>
      </x:c>
      <x:c r="L9" s="99" t="n">
        <x:v>2975000</x:v>
      </x:c>
      <x:c r="M9" s="99" t="n">
        <x:f>(L9+(Dashboard!$B$16/Dashboard!$B$6*7))/Dashboard!$B$17</x:f>
        <x:v>3497839.5925925924</x:v>
      </x:c>
      <x:c r="N9" s="66" t="str">
        <x:v>Planned</x:v>
      </x:c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 ht="58" customHeight="1">
      <x:c r="A10" s="66" t="n">
        <x:v>6</x:v>
      </x:c>
      <x:c r="B10" s="87" t="n">
        <x:v>46286</x:v>
      </x:c>
      <x:c r="C10" s="87" t="n">
        <x:v>46292</x:v>
      </x:c>
      <x:c r="D10" s="66" t="str">
        <x:v>Fase 2</x:v>
      </x:c>
      <x:c r="E10" s="66" t="str">
        <x:v>Affiliate Sprint #1</x:v>
      </x:c>
      <x:c r="F10" s="66" t="str">
        <x:v>Hero Week: ModulAjar</x:v>
      </x:c>
      <x:c r="G10" s="66" t="str">
        <x:v>Affiliate existing</x:v>
      </x:c>
      <x:c r="H10" s="66" t="str">
        <x:v>Target affiliate aktif ≥5; ukur sales/active affiliate dan new-customer rate.</x:v>
      </x:c>
      <x:c r="I10" s="66" t="str">
        <x:v>Brief mingguan ModulAjar + kit + leaderboard sederhana.</x:v>
      </x:c>
      <x:c r="J10" s="66" t="str">
        <x:v>WA grup affiliate: 1 briefing utama + 1 follow-up hasil.</x:v>
      </x:c>
      <x:c r="K10" s="66" t="str">
        <x:v>Tidak perlu konten YT khusus affiliate; gunakan materi dari YouTube plan sebagai sales asset.</x:v>
      </x:c>
      <x:c r="L10" s="99" t="n">
        <x:v>2975000</x:v>
      </x:c>
      <x:c r="M10" s="99" t="n">
        <x:f>(L10+(Dashboard!$B$16/Dashboard!$B$6*7))/Dashboard!$B$17</x:f>
        <x:v>3497839.5925925924</x:v>
      </x:c>
      <x:c r="N10" s="66" t="str">
        <x:v>Planned</x:v>
      </x:c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 ht="58" customHeight="1">
      <x:c r="A11" s="66" t="n">
        <x:v>7</x:v>
      </x:c>
      <x:c r="B11" s="87" t="n">
        <x:v>46293</x:v>
      </x:c>
      <x:c r="C11" s="87" t="n">
        <x:v>46299</x:v>
      </x:c>
      <x:c r="D11" s="66" t="str">
        <x:v>Fase 2</x:v>
      </x:c>
      <x:c r="E11" s="66" t="str">
        <x:v>Normal-price campaign</x:v>
      </x:c>
      <x:c r="F11" s="66" t="str">
        <x:v>BuatSoal Online</x:v>
      </x:c>
      <x:c r="G11" s="66" t="str">
        <x:v>Guru butuh asesmen/soal</x:v>
      </x:c>
      <x:c r="H11" s="66" t="str">
        <x:v>Campaign normal price berbasis demo, use case, testimonial, bukan diskon.</x:v>
      </x:c>
      <x:c r="I11" s="66" t="str">
        <x:v>Hero Week: BuatSoal.</x:v>
      </x:c>
      <x:c r="J11" s="66" t="str">
        <x:v>Lead magnet BuatSoal + case study + offer.</x:v>
      </x:c>
      <x:c r="K11" s="66" t="str">
        <x:v>YT Plan tetap punya kalendernya sendiri; revenue hanya bridge ke produk/lead magnet.</x:v>
      </x:c>
      <x:c r="L11" s="99" t="n">
        <x:v>2975000</x:v>
      </x:c>
      <x:c r="M11" s="99" t="n">
        <x:f>(L11+(Dashboard!$B$16/Dashboard!$B$6*7))/Dashboard!$B$17</x:f>
        <x:v>3497839.5925925924</x:v>
      </x:c>
      <x:c r="N11" s="66" t="str">
        <x:v>Planned</x:v>
      </x:c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 ht="58" customHeight="1">
      <x:c r="A12" s="66" t="n">
        <x:v>8</x:v>
      </x:c>
      <x:c r="B12" s="87" t="n">
        <x:v>46300</x:v>
      </x:c>
      <x:c r="C12" s="87" t="n">
        <x:v>46306</x:v>
      </x:c>
      <x:c r="D12" s="66" t="str">
        <x:v>Fase 2</x:v>
      </x:c>
      <x:c r="E12" s="66" t="str">
        <x:v>Normal-price campaign</x:v>
      </x:c>
      <x:c r="F12" s="66" t="str">
        <x:v>ModulAjar Online</x:v>
      </x:c>
      <x:c r="G12" s="66" t="str">
        <x:v>Guru butuh perencanaan</x:v>
      </x:c>
      <x:c r="H12" s="66" t="str">
        <x:v>Campaign normal price ModulAjar; audit CTA dan conversion dari WA.</x:v>
      </x:c>
      <x:c r="I12" s="66" t="str">
        <x:v>Hero Week: ModulAjar.</x:v>
      </x:c>
      <x:c r="J12" s="66" t="str">
        <x:v>Nurture lead baru + proof existing customer.</x:v>
      </x:c>
      <x:c r="K12" s="66" t="str">
        <x:v>Repurpose insight dari YT; tidak membuat long-form/live tambahan.</x:v>
      </x:c>
      <x:c r="L12" s="99" t="n">
        <x:v>2975000</x:v>
      </x:c>
      <x:c r="M12" s="99" t="n">
        <x:f>(L12+(Dashboard!$B$16/Dashboard!$B$6*7))/Dashboard!$B$17</x:f>
        <x:v>3497839.5925925924</x:v>
      </x:c>
      <x:c r="N12" s="66" t="str">
        <x:v>Planned</x:v>
      </x:c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 ht="58" customHeight="1">
      <x:c r="A13" s="66" t="n">
        <x:v>9</x:v>
      </x:c>
      <x:c r="B13" s="87" t="n">
        <x:v>46307</x:v>
      </x:c>
      <x:c r="C13" s="87" t="n">
        <x:v>46313</x:v>
      </x:c>
      <x:c r="D13" s="66" t="str">
        <x:v>Fase 3</x:v>
      </x:c>
      <x:c r="E13" s="66" t="str">
        <x:v>Scale winner</x:v>
      </x:c>
      <x:c r="F13" s="66" t="str">
        <x:v>Scale channel/campaign terbaik</x:v>
      </x:c>
      <x:c r="G13" s="66" t="str">
        <x:v>Segment dengan conversion tertinggi</x:v>
      </x:c>
      <x:c r="H13" s="66" t="str">
        <x:v>Double down hanya pada channel + offer yang terbukti 8 minggu pertama.</x:v>
      </x:c>
      <x:c r="I13" s="66" t="str">
        <x:v>Affiliate target aktif 10–15.</x:v>
      </x:c>
      <x:c r="J13" s="66" t="str">
        <x:v>Kurangi aktivitas yang tidak menghasilkan lead/sales.</x:v>
      </x:c>
      <x:c r="K13" s="66" t="str">
        <x:v>Gunakan cluster pemenang YT sebagai sumber konten lintas channel.</x:v>
      </x:c>
      <x:c r="L13" s="99" t="n">
        <x:v>3500000</x:v>
      </x:c>
      <x:c r="M13" s="99" t="n">
        <x:f>(L13+(Dashboard!$B$16/Dashboard!$B$6*7))/Dashboard!$B$17</x:f>
        <x:v>4081172.925925926</x:v>
      </x:c>
      <x:c r="N13" s="66" t="str">
        <x:v>Planned</x:v>
      </x:c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 ht="58" customHeight="1">
      <x:c r="A14" s="66" t="n">
        <x:v>10</x:v>
      </x:c>
      <x:c r="B14" s="87" t="n">
        <x:v>46314</x:v>
      </x:c>
      <x:c r="C14" s="87" t="n">
        <x:v>46320</x:v>
      </x:c>
      <x:c r="D14" s="66" t="str">
        <x:v>Fase 3</x:v>
      </x:c>
      <x:c r="E14" s="66" t="str">
        <x:v>Affiliate Sprint #2</x:v>
      </x:c>
      <x:c r="F14" s="66" t="str">
        <x:v>Hero Week: BuatSoal</x:v>
      </x:c>
      <x:c r="G14" s="66" t="str">
        <x:v>Affiliate + audience baru</x:v>
      </x:c>
      <x:c r="H14" s="66" t="str">
        <x:v>Dorong affiliate new-customer acquisition; ukur gross vs net setelah komisi.</x:v>
      </x:c>
      <x:c r="I14" s="66" t="str">
        <x:v>Target 10–15 affiliate aktif; coaching top performer.</x:v>
      </x:c>
      <x:c r="J14" s="66" t="str">
        <x:v>WA affiliate fokus objection handling + proof.</x:v>
      </x:c>
      <x:c r="K14" s="66" t="str">
        <x:v>Tidak menambah video YT. Materi YT hanya masuk marketing kit jika relevan.</x:v>
      </x:c>
      <x:c r="L14" s="99" t="n">
        <x:v>3500000</x:v>
      </x:c>
      <x:c r="M14" s="99" t="n">
        <x:f>(L14+(Dashboard!$B$16/Dashboard!$B$6*7))/Dashboard!$B$17</x:f>
        <x:v>4081172.925925926</x:v>
      </x:c>
      <x:c r="N14" s="66" t="str">
        <x:v>Planned</x:v>
      </x:c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 ht="58" customHeight="1">
      <x:c r="A15" s="66" t="n">
        <x:v>11</x:v>
      </x:c>
      <x:c r="B15" s="87" t="n">
        <x:v>46321</x:v>
      </x:c>
      <x:c r="C15" s="87" t="n">
        <x:v>46327</x:v>
      </x:c>
      <x:c r="D15" s="66" t="str">
        <x:v>Fase 3</x:v>
      </x:c>
      <x:c r="E15" s="66" t="str">
        <x:v>Cross-sell #2</x:v>
      </x:c>
      <x:c r="F15" s="66" t="str">
        <x:v>BuatSoal → ModulAjar</x:v>
      </x:c>
      <x:c r="G15" s="66" t="str">
        <x:v>BuatSoal-only</x:v>
      </x:c>
      <x:c r="H15" s="66" t="str">
        <x:v>Reverse cross-sell ke customer yang belum punya ModulAjar.</x:v>
      </x:c>
      <x:c r="I15" s="66" t="str">
        <x:v>Affiliate tetap hero-product campaign; cross-sell existing dilakukan direct.</x:v>
      </x:c>
      <x:c r="J15" s="66" t="str">
        <x:v>Segmented WA/DM; hindari broadcast ke semua orang.</x:v>
      </x:c>
      <x:c r="K15" s="66" t="str">
        <x:v>Gunakan konten YT sebagai authority; offer dilakukan di owned channel.</x:v>
      </x:c>
      <x:c r="L15" s="99" t="n">
        <x:v>3500000</x:v>
      </x:c>
      <x:c r="M15" s="99" t="n">
        <x:f>(L15+(Dashboard!$B$16/Dashboard!$B$6*7))/Dashboard!$B$17</x:f>
        <x:v>4081172.925925926</x:v>
      </x:c>
      <x:c r="N15" s="66" t="str">
        <x:v>Planned</x:v>
      </x:c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 ht="58" customHeight="1">
      <x:c r="A16" s="66" t="n">
        <x:v>12</x:v>
      </x:c>
      <x:c r="B16" s="87" t="n">
        <x:v>46328</x:v>
      </x:c>
      <x:c r="C16" s="87" t="n">
        <x:v>46334</x:v>
      </x:c>
      <x:c r="D16" s="66" t="str">
        <x:v>Fase 3</x:v>
      </x:c>
      <x:c r="E16" s="66" t="str">
        <x:v>Backend validation</x:v>
      </x:c>
      <x:c r="F16" s="66" t="str">
        <x:v>Membership 9K + produk pendamping</x:v>
      </x:c>
      <x:c r="G16" s="66" t="str">
        <x:v>Buyer paling loyal</x:v>
      </x:c>
      <x:c r="H16" s="66" t="str">
        <x:v>Validasi membership 9K sebagai retention layer; produk lain sebagai backend, bukan hero.</x:v>
      </x:c>
      <x:c r="I16" s="66" t="str">
        <x:v>Ajak customer loyal yang cocok menjadi affiliate/advocate.</x:v>
      </x:c>
      <x:c r="J16" s="66" t="str">
        <x:v>Target 25–50 member aktif, tapi jangan korbankan hero-product sales.</x:v>
      </x:c>
      <x:c r="K16" s="66" t="str">
        <x:v>YouTube tetap fokus growth plan; membership hanya CTA opsional jika konteksnya cocok.</x:v>
      </x:c>
      <x:c r="L16" s="99" t="n">
        <x:v>3500000</x:v>
      </x:c>
      <x:c r="M16" s="99" t="n">
        <x:f>(L16+(Dashboard!$B$16/Dashboard!$B$6*7))/Dashboard!$B$17</x:f>
        <x:v>4081172.925925926</x:v>
      </x:c>
      <x:c r="N16" s="66" t="str">
        <x:v>Planned</x:v>
      </x:c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 ht="58" customHeight="1">
      <x:c r="A17" s="66" t="n">
        <x:v>13</x:v>
      </x:c>
      <x:c r="B17" s="87" t="n">
        <x:v>46335</x:v>
      </x:c>
      <x:c r="C17" s="87" t="n">
        <x:v>46341</x:v>
      </x:c>
      <x:c r="D17" s="66" t="str">
        <x:v>Fase 3</x:v>
      </x:c>
      <x:c r="E17" s="66" t="str">
        <x:v>90-day scale decision</x:v>
      </x:c>
      <x:c r="F17" s="66" t="str">
        <x:v>500K/day run-rate</x:v>
      </x:c>
      <x:c r="G17" s="66" t="str">
        <x:v>Semua winning segment</x:v>
      </x:c>
      <x:c r="H17" s="66" t="str">
        <x:v>Audit 90 hari: revenue mix, channel, customer baru, affiliate, campaign winner. Tetapkan Q4.</x:v>
      </x:c>
      <x:c r="I17" s="66" t="str">
        <x:v>Target affiliate aktif 20+ bila kualitas pipeline mendukung.</x:v>
      </x:c>
      <x:c r="J17" s="66" t="str">
        <x:v>Pilih 1–2 engine untuk scale berikutnya; hentikan aktivitas low-ROI.</x:v>
      </x:c>
      <x:c r="K17" s="66" t="str">
        <x:v>Review bersama KPI YouTube, tetapi roadmap Q4 tetap memisahkan tujuan growth vs revenue.</x:v>
      </x:c>
      <x:c r="L17" s="99" t="n">
        <x:v>3500000</x:v>
      </x:c>
      <x:c r="M17" s="99" t="n">
        <x:f>(L17+(Dashboard!$B$16/Dashboard!$B$6*7))/Dashboard!$B$17</x:f>
        <x:v>4081172.925925926</x:v>
      </x:c>
      <x:c r="N17" s="66" t="str">
        <x:v>Planned</x:v>
      </x:c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</x:sheetData>
  <x:mergeCells>
    <x:mergeCell ref="A1:N1"/>
    <x:mergeCell ref="A2:N2"/>
  </x:mergeCells>
  <x:conditionalFormatting sqref="N5:N17">
    <x:cfRule type="expression" dxfId="0" priority="1">
      <x:formula>N5="Done"</x:formula>
    </x:cfRule>
    <x:cfRule type="expression" dxfId="1" priority="2">
      <x:formula>N5="Blocked"</x:formula>
    </x:cfRule>
  </x:conditionalFormatting>
  <x:dataValidations count="1">
    <x:dataValidation type="list" sqref="N5:N17">
      <x:formula1>"Planned,In Progress,Done,Blocked"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28" hidden="0" customWidth="1"/>
    <x:col min="4" max="4" width="40" hidden="0" customWidth="1"/>
    <x:col min="5" max="5" width="32" hidden="0" customWidth="1"/>
    <x:col min="6" max="6" width="16" hidden="0" customWidth="1"/>
    <x:col min="7" max="7" width="38" hidden="0" customWidth="1"/>
  </x:cols>
  <x:sheetData>
    <x:row r="1" ht="32" customHeight="1">
      <x:c r="A1" s="91" t="str">
        <x:v>WEEKLY OPERATING SYSTEM — TANPA TUMPANG TINDIH</x:v>
      </x:c>
      <x:c r="B1" s="91"/>
      <x:c r="C1" s="91"/>
      <x:c r="D1" s="91"/>
      <x:c r="E1" s="91"/>
      <x:c r="F1" s="91"/>
      <x:c r="G1" s="91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</x:row>
    <x:row r="2" ht="22" customHeight="1">
      <x:c r="A2" s="93" t="str">
        <x:v>Revenue plan mengatur monetisasi &amp; distribusi. YouTube Growth Plan tetap mengatur produksi/publishing YouTube.</x:v>
      </x:c>
      <x:c r="B2" s="93"/>
      <x:c r="C2" s="93"/>
      <x:c r="D2" s="93"/>
      <x:c r="E2" s="93"/>
      <x:c r="F2" s="93"/>
      <x:c r="G2" s="93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  <x:c r="U3" s="60"/>
      <x:c r="V3" s="60"/>
      <x:c r="W3" s="60"/>
      <x:c r="X3" s="60"/>
      <x:c r="Y3" s="60"/>
      <x:c r="Z3" s="60"/>
    </x:row>
    <x:row r="4" ht="30" customHeight="1">
      <x:c r="A4" s="97" t="str">
        <x:v>Hari</x:v>
      </x:c>
      <x:c r="B4" s="97" t="str">
        <x:v>Owner Utama</x:v>
      </x:c>
      <x:c r="C4" s="97" t="str">
        <x:v>YouTube Plan</x:v>
      </x:c>
      <x:c r="D4" s="97" t="str">
        <x:v>Revenue Action</x:v>
      </x:c>
      <x:c r="E4" s="97" t="str">
        <x:v>Repurpose Rule</x:v>
      </x:c>
      <x:c r="F4" s="97" t="str">
        <x:v>Beban Tambahan</x:v>
      </x:c>
      <x:c r="G4" s="97" t="str">
        <x:v>Hard Rule</x:v>
      </x:c>
      <x:c r="H4" s="60"/>
      <x:c r="I4" s="60"/>
      <x:c r="J4" s="60"/>
      <x:c r="K4" s="60"/>
      <x:c r="L4" s="60"/>
      <x:c r="M4" s="60"/>
      <x:c r="N4" s="60"/>
      <x:c r="O4" s="60"/>
      <x:c r="P4" s="60"/>
      <x:c r="Q4" s="60"/>
      <x:c r="R4" s="60"/>
      <x:c r="S4" s="60"/>
      <x:c r="T4" s="60"/>
      <x:c r="U4" s="60"/>
      <x:c r="V4" s="60"/>
      <x:c r="W4" s="60"/>
      <x:c r="X4" s="60"/>
      <x:c r="Y4" s="60"/>
      <x:c r="Z4" s="60"/>
    </x:row>
    <x:row r="5" ht="48" customHeight="1">
      <x:c r="A5" s="66" t="str">
        <x:v>Senin</x:v>
      </x:c>
      <x:c r="B5" s="66" t="str">
        <x:v>Revenue</x:v>
      </x:c>
      <x:c r="C5" s="66" t="str">
        <x:v>—</x:v>
      </x:c>
      <x:c r="D5" s="66" t="str">
        <x:v>WA edukasi + affiliate brief + cek campaign minggu ini</x:v>
      </x:c>
      <x:c r="E5" s="66" t="str">
        <x:v>Gunakan insight dari aset minggu sebelumnya bila ada.</x:v>
      </x:c>
      <x:c r="F5" s="66" t="str">
        <x:v>Ringan</x:v>
      </x:c>
      <x:c r="G5" s="66" t="str">
        <x:v>Jangan bikin video YouTube baru untuk kebutuhan revenue.</x:v>
      </x:c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0"/>
      <x:c r="Z5" s="60"/>
    </x:row>
    <x:row r="6" ht="48" customHeight="1">
      <x:c r="A6" s="66" t="str">
        <x:v>Selasa</x:v>
      </x:c>
      <x:c r="B6" s="66" t="str">
        <x:v>YouTube Growth Plan</x:v>
      </x:c>
      <x:c r="C6" s="66" t="str">
        <x:v>Long-form Discovery / Search</x:v>
      </x:c>
      <x:c r="D6" s="66" t="str">
        <x:v>Revenue hanya cek CTA, link lead magnet, product bridge</x:v>
      </x:c>
      <x:c r="E6" s="66" t="str">
        <x:v>Tidak ada produksi konten revenue besar.</x:v>
      </x:c>
      <x:c r="F6" s="66" t="str">
        <x:v>Sangat ringan</x:v>
      </x:c>
      <x:c r="G6" s="66" t="str">
        <x:v>Selasa milik YouTube plan.</x:v>
      </x:c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0"/>
      <x:c r="Z6" s="60"/>
    </x:row>
    <x:row r="7" ht="48" customHeight="1">
      <x:c r="A7" s="66" t="str">
        <x:v>Rabu</x:v>
      </x:c>
      <x:c r="B7" s="66" t="str">
        <x:v>Shared / Repurpose</x:v>
      </x:c>
      <x:c r="C7" s="66" t="str">
        <x:v>Shorts dari long-form/live</x:v>
      </x:c>
      <x:c r="D7" s="66" t="str">
        <x:v>Repurpose aset Selasa → TikTok + Threads + WA</x:v>
      </x:c>
      <x:c r="E7" s="66" t="str">
        <x:v>1 source asset → multi-channel.</x:v>
      </x:c>
      <x:c r="F7" s="66" t="str">
        <x:v>Ringan</x:v>
      </x:c>
      <x:c r="G7" s="66" t="str">
        <x:v>Tidak bikin script topik baru kalau bisa reuse.</x:v>
      </x:c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 ht="48" customHeight="1">
      <x:c r="A8" s="66" t="str">
        <x:v>Kamis</x:v>
      </x:c>
      <x:c r="B8" s="66" t="str">
        <x:v>Revenue</x:v>
      </x:c>
      <x:c r="C8" s="66" t="str">
        <x:v>—</x:v>
      </x:c>
      <x:c r="D8" s="66" t="str">
        <x:v>CRM/cross-sell, testimonial, case study, follow-up lead</x:v>
      </x:c>
      <x:c r="E8" s="66" t="str">
        <x:v>Bisa pakai screenshot/demo dari konten minggu ini.</x:v>
      </x:c>
      <x:c r="F8" s="66" t="str">
        <x:v>Sedang</x:v>
      </x:c>
      <x:c r="G8" s="66" t="str">
        <x:v>Fokus conversion, bukan produksi video YouTube.</x:v>
      </x:c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 ht="48" customHeight="1">
      <x:c r="A9" s="66" t="str">
        <x:v>Jumat</x:v>
      </x:c>
      <x:c r="B9" s="66" t="str">
        <x:v>YouTube Growth Plan</x:v>
      </x:c>
      <x:c r="C9" s="66" t="str">
        <x:v>Build / Case Study</x:v>
      </x:c>
      <x:c r="D9" s="66" t="str">
        <x:v>Revenue hanya product bridge + CTA yang natural</x:v>
      </x:c>
      <x:c r="E9" s="66" t="str">
        <x:v>Tidak ada kewajiban content tambahan.</x:v>
      </x:c>
      <x:c r="F9" s="66" t="str">
        <x:v>Sangat ringan</x:v>
      </x:c>
      <x:c r="G9" s="66" t="str">
        <x:v>Jumat milik YouTube plan.</x:v>
      </x:c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 ht="48" customHeight="1">
      <x:c r="A10" s="66" t="str">
        <x:v>Sabtu</x:v>
      </x:c>
      <x:c r="B10" s="66" t="str">
        <x:v>Shared / Repurpose</x:v>
      </x:c>
      <x:c r="C10" s="66" t="str">
        <x:v>Shorts dari long-form/live</x:v>
      </x:c>
      <x:c r="D10" s="66" t="str">
        <x:v>Repurpose Jumat → TikTok/Threads + bahan affiliate</x:v>
      </x:c>
      <x:c r="E10" s="66" t="str">
        <x:v>Pakai clip/copy yang sama sebanyak mungkin.</x:v>
      </x:c>
      <x:c r="F10" s="66" t="str">
        <x:v>Ringan</x:v>
      </x:c>
      <x:c r="G10" s="66" t="str">
        <x:v>Jangan membuat campaign baru hanya demi posting.</x:v>
      </x:c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 ht="48" customHeight="1">
      <x:c r="A11" s="66" t="str">
        <x:v>Minggu</x:v>
      </x:c>
      <x:c r="B11" s="66" t="str">
        <x:v>YouTube + Review</x:v>
      </x:c>
      <x:c r="C11" s="66" t="str">
        <x:v>LIVE 60–90 menit</x:v>
      </x:c>
      <x:c r="D11" s="66" t="str">
        <x:v>15 menit review Post &amp; Cuan + pilih fokus revenue minggu depan</x:v>
      </x:c>
      <x:c r="E11" s="66" t="str">
        <x:v>Live bisa menjadi source asset minggu berikutnya.</x:v>
      </x:c>
      <x:c r="F11" s="66" t="str">
        <x:v>Ringan</x:v>
      </x:c>
      <x:c r="G11" s="66" t="str">
        <x:v>Tidak ada live tambahan khusus jualan.</x:v>
      </x:c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>
      <x:c r="A12" s="60"/>
      <x:c r="B12" s="60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 ht="22" customHeight="1">
      <x:c r="A14" s="95" t="str">
        <x:v>NO-OVERLAP RULES</x:v>
      </x:c>
      <x:c r="B14" s="95"/>
      <x:c r="C14" s="95"/>
      <x:c r="D14" s="95"/>
      <x:c r="E14" s="95"/>
      <x:c r="F14" s="95"/>
      <x:c r="G14" s="95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>
      <x:c r="A15" s="71" t="str">
        <x:v>1</x:v>
      </x:c>
      <x:c r="B15" s="66" t="str">
        <x:v>YouTube title, upload calendar, SEO, watch-hour strategy, Live, Shorts → HANYA dikelola di YouTube Growth Plan.</x:v>
      </x:c>
      <x:c r="C15" s="66"/>
      <x:c r="D15" s="66"/>
      <x:c r="E15" s="66"/>
      <x:c r="F15" s="66"/>
      <x:c r="G15" s="66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>
      <x:c r="A16" s="71" t="str">
        <x:v>2</x:v>
      </x:c>
      <x:c r="B16" s="66" t="str">
        <x:v>Roadmap revenue mengelola offer, CTA destination, WA, TikTok/Threads repurpose, CRM, affiliate, lead magnet, dan revenue KPI.</x:v>
      </x:c>
      <x:c r="C16" s="66"/>
      <x:c r="D16" s="66"/>
      <x:c r="E16" s="66"/>
      <x:c r="F16" s="66"/>
      <x:c r="G16" s="66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>
      <x:c r="A17" s="71" t="str">
        <x:v>3</x:v>
      </x:c>
      <x:c r="B17" s="66" t="str">
        <x:v>Jika satu topik sudah dibuat untuk YouTube, revenue plan harus REUSE/REPURPOSE sebelum memutuskan membuat aset baru.</x:v>
      </x:c>
      <x:c r="C17" s="66"/>
      <x:c r="D17" s="66"/>
      <x:c r="E17" s="66"/>
      <x:c r="F17" s="66"/>
      <x:c r="G17" s="66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>
      <x:c r="A18" s="71" t="str">
        <x:v>4</x:v>
      </x:c>
      <x:c r="B18" s="66" t="str">
        <x:v>Post &amp; Cuan tetap source of truth harian; workbook ini tidak meminta input posting/transaksi harian ulang.</x:v>
      </x:c>
      <x:c r="C18" s="66"/>
      <x:c r="D18" s="66"/>
      <x:c r="E18" s="66"/>
      <x:c r="F18" s="66"/>
      <x:c r="G18" s="66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</x:sheetData>
  <x:mergeCells>
    <x:mergeCell ref="A1:G1"/>
    <x:mergeCell ref="A2:G2"/>
    <x:mergeCell ref="A14:G14"/>
    <x:mergeCell ref="B15:G15"/>
    <x:mergeCell ref="B16:G16"/>
    <x:mergeCell ref="B17:G17"/>
    <x:mergeCell ref="B18:G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22" hidden="0" customWidth="1"/>
    <x:col min="5" max="5" width="18" hidden="0" customWidth="1"/>
    <x:col min="6" max="6" width="13" hidden="0" customWidth="1"/>
    <x:col min="7" max="7" width="13" hidden="0" customWidth="1"/>
    <x:col min="8" max="8" width="18" hidden="0" customWidth="1"/>
    <x:col min="9" max="9" width="8" hidden="0" customWidth="1"/>
    <x:col min="10" max="10" width="42" hidden="0" customWidth="1"/>
  </x:cols>
  <x:sheetData>
    <x:row r="1" ht="32" customHeight="1">
      <x:c r="A1" s="91" t="str">
        <x:v>CUSTOMER SEGMENT &amp; FASTEST REVENUE POOL</x:v>
      </x:c>
      <x:c r="B1" s="91"/>
      <x:c r="C1" s="91"/>
      <x:c r="D1" s="91"/>
      <x:c r="E1" s="91"/>
      <x:c r="F1" s="91"/>
      <x:c r="G1" s="91"/>
      <x:c r="H1" s="91"/>
      <x:c r="I1" s="91"/>
      <x:c r="J1" s="91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</x:row>
    <x:row r="2" ht="22" customHeight="1">
      <x:c r="A2" s="93" t="str">
        <x:v>Estimasi awal — update setelah segmentasi data aktual.</x:v>
      </x:c>
      <x:c r="B2" s="93"/>
      <x:c r="C2" s="93"/>
      <x:c r="D2" s="93"/>
      <x:c r="E2" s="93"/>
      <x:c r="F2" s="93"/>
      <x:c r="G2" s="93"/>
      <x:c r="H2" s="93"/>
      <x:c r="I2" s="93"/>
      <x:c r="J2" s="93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  <x:c r="U3" s="60"/>
      <x:c r="V3" s="60"/>
      <x:c r="W3" s="60"/>
      <x:c r="X3" s="60"/>
      <x:c r="Y3" s="60"/>
      <x:c r="Z3" s="60"/>
    </x:row>
    <x:row r="4" ht="22" customHeight="1">
      <x:c r="A4" s="95" t="str">
        <x:v>BASELINE ESTIMASI</x:v>
      </x:c>
      <x:c r="B4" s="95"/>
      <x:c r="C4" s="60"/>
      <x:c r="D4" s="95" t="str">
        <x:v>RINGKASAN</x:v>
      </x:c>
      <x:c r="E4" s="95"/>
      <x:c r="F4" s="60"/>
      <x:c r="G4" s="60"/>
      <x:c r="H4" s="60"/>
      <x:c r="I4" s="60"/>
      <x:c r="J4" s="60"/>
      <x:c r="K4" s="60"/>
      <x:c r="L4" s="60"/>
      <x:c r="M4" s="60"/>
      <x:c r="N4" s="60"/>
      <x:c r="O4" s="60"/>
      <x:c r="P4" s="60"/>
      <x:c r="Q4" s="60"/>
      <x:c r="R4" s="60"/>
      <x:c r="S4" s="60"/>
      <x:c r="T4" s="60"/>
      <x:c r="U4" s="60"/>
      <x:c r="V4" s="60"/>
      <x:c r="W4" s="60"/>
      <x:c r="X4" s="60"/>
      <x:c r="Y4" s="60"/>
      <x:c r="Z4" s="60"/>
    </x:row>
    <x:row r="5">
      <x:c r="A5" s="66" t="str">
        <x:v>Customer ModulAjar</x:v>
      </x:c>
      <x:c r="B5" s="66" t="n">
        <x:v>200</x:v>
      </x:c>
      <x:c r="C5" s="60"/>
      <x:c r="D5" s="66" t="str">
        <x:v>Unique buyer (estimasi)</x:v>
      </x:c>
      <x:c r="E5" s="66" t="n">
        <x:f>B5+B6-B8</x:f>
        <x:v>296</x:v>
      </x:c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0"/>
      <x:c r="Z5" s="60"/>
    </x:row>
    <x:row r="6">
      <x:c r="A6" s="66" t="str">
        <x:v>Customer BuatSoal</x:v>
      </x:c>
      <x:c r="B6" s="66" t="n">
        <x:v>120</x:v>
      </x:c>
      <x:c r="C6" s="60"/>
      <x:c r="D6" s="66" t="str">
        <x:v>Warm pool cross-sell</x:v>
      </x:c>
      <x:c r="E6" s="66" t="n">
        <x:f>B9+B10</x:f>
        <x:v>272</x:v>
      </x:c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0"/>
      <x:c r="Z6" s="60"/>
    </x:row>
    <x:row r="7">
      <x:c r="A7" s="66" t="str">
        <x:v>Estimasi overlap</x:v>
      </x:c>
      <x:c r="B7" s="67" t="n">
        <x:v>0.2</x:v>
      </x:c>
      <x:c r="C7" s="60"/>
      <x:c r="D7" s="66" t="str">
        <x:v>Pro → Max pool</x:v>
      </x:c>
      <x:c r="E7" s="66" t="n">
        <x:f>B11</x:f>
        <x:v>100</x:v>
      </x:c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>
      <x:c r="A8" s="66" t="str">
        <x:v>Overlap count</x:v>
      </x:c>
      <x:c r="B8" s="66" t="n">
        <x:f>B6*B7</x:f>
        <x:v>24</x:v>
      </x:c>
      <x:c r="C8" s="60"/>
      <x:c r="D8" s="66" t="str">
        <x:v>Catatan</x:v>
      </x:c>
      <x:c r="E8" s="66" t="str">
        <x:v>Angka overlap masih estimasi; ganti setelah audit data aktual.</x:v>
      </x:c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>
      <x:c r="A9" s="66" t="str">
        <x:v>ModulAjar only</x:v>
      </x:c>
      <x:c r="B9" s="66" t="n">
        <x:f>B5-B8</x:f>
        <x:v>176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>
      <x:c r="A10" s="66" t="str">
        <x:v>BuatSoal only</x:v>
      </x:c>
      <x:c r="B10" s="66" t="n">
        <x:f>B6-B8</x:f>
        <x:v>96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>
      <x:c r="A11" s="66" t="str">
        <x:v>BuatSoal Pro</x:v>
      </x:c>
      <x:c r="B11" s="66" t="n">
        <x:v>100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>
      <x:c r="A12" s="66" t="str">
        <x:v>BuatSoal Max</x:v>
      </x:c>
      <x:c r="B12" s="66" t="n">
        <x:v>20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>
      <x:c r="A14" s="60"/>
      <x:c r="B14" s="60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 ht="30" customHeight="1">
      <x:c r="A15" s="97" t="str">
        <x:v>Segment</x:v>
      </x:c>
      <x:c r="B15" s="97" t="str">
        <x:v>Est. Count</x:v>
      </x:c>
      <x:c r="C15" s="97" t="str">
        <x:v>Campaign</x:v>
      </x:c>
      <x:c r="D15" s="97" t="str">
        <x:v>Offer</x:v>
      </x:c>
      <x:c r="E15" s="97" t="str">
        <x:v>Incremental Price</x:v>
      </x:c>
      <x:c r="F15" s="97" t="str">
        <x:v>Target Conv</x:v>
      </x:c>
      <x:c r="G15" s="97" t="str">
        <x:v>Target Sales</x:v>
      </x:c>
      <x:c r="H15" s="97" t="str">
        <x:v>Gross Potential</x:v>
      </x:c>
      <x:c r="I15" s="97" t="str">
        <x:v>Week</x:v>
      </x:c>
      <x:c r="J15" s="97" t="str">
        <x:v>Message Angle</x:v>
      </x:c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>
      <x:c r="A16" s="66" t="str">
        <x:v>ModulAjar only</x:v>
      </x:c>
      <x:c r="B16" s="66" t="n">
        <x:f>$B$9</x:f>
        <x:v>176</x:v>
      </x:c>
      <x:c r="C16" s="66" t="str">
        <x:v>Cross-sell #1</x:v>
      </x:c>
      <x:c r="D16" s="66" t="str">
        <x:v>BuatSoal Pro</x:v>
      </x:c>
      <x:c r="E16" s="99" t="n">
        <x:v>149000</x:v>
      </x:c>
      <x:c r="F16" s="67" t="n">
        <x:v>0.1</x:v>
      </x:c>
      <x:c r="G16" s="72" t="n">
        <x:f>B16*F16</x:f>
        <x:v>17.6</x:v>
      </x:c>
      <x:c r="H16" s="99" t="n">
        <x:f>G16*E16</x:f>
        <x:v>2622400</x:v>
      </x:c>
      <x:c r="I16" s="66" t="n">
        <x:v>2</x:v>
      </x:c>
      <x:c r="J16" s="66" t="str">
        <x:v>Modul sudah selesai → lanjut asesmen/soal yang selaras.</x:v>
      </x:c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>
      <x:c r="A17" s="66" t="str">
        <x:v>BuatSoal only</x:v>
      </x:c>
      <x:c r="B17" s="66" t="n">
        <x:f>$B$10</x:f>
        <x:v>96</x:v>
      </x:c>
      <x:c r="C17" s="66" t="str">
        <x:v>Cross-sell #2</x:v>
      </x:c>
      <x:c r="D17" s="66" t="str">
        <x:v>ModulAjar</x:v>
      </x:c>
      <x:c r="E17" s="99" t="n">
        <x:v>149000</x:v>
      </x:c>
      <x:c r="F17" s="67" t="n">
        <x:v>0.1</x:v>
      </x:c>
      <x:c r="G17" s="72" t="n">
        <x:f>B17*F17</x:f>
        <x:v>9.600000000000001</x:v>
      </x:c>
      <x:c r="H17" s="99" t="n">
        <x:f>G17*E17</x:f>
        <x:v>1430400.0000000002</x:v>
      </x:c>
      <x:c r="I17" s="66" t="n">
        <x:v>11</x:v>
      </x:c>
      <x:c r="J17" s="66" t="str">
        <x:v>Soal sudah mudah → perencanaan pembelajaran juga bisa dipercepat.</x:v>
      </x:c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>
      <x:c r="A18" s="66" t="str">
        <x:v>BuatSoal Pro</x:v>
      </x:c>
      <x:c r="B18" s="66" t="n">
        <x:f>$B$11</x:f>
        <x:v>100</x:v>
      </x:c>
      <x:c r="C18" s="66" t="str">
        <x:v>Upgrade</x:v>
      </x:c>
      <x:c r="D18" s="66" t="str">
        <x:v>Max</x:v>
      </x:c>
      <x:c r="E18" s="99" t="n">
        <x:v>100000</x:v>
      </x:c>
      <x:c r="F18" s="67" t="n">
        <x:v>0.18</x:v>
      </x:c>
      <x:c r="G18" s="72" t="n">
        <x:f>B18*F18</x:f>
        <x:v>18</x:v>
      </x:c>
      <x:c r="H18" s="99" t="n">
        <x:f>G18*E18</x:f>
        <x:v>1800000</x:v>
      </x:c>
      <x:c r="I18" s="66" t="n">
        <x:v>4</x:v>
      </x:c>
      <x:c r="J18" s="66" t="str">
        <x:v>Bayar selisih untuk membuka manfaat Max; demo perbedaan nyata.</x:v>
      </x:c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>
      <x:c r="A19" s="66" t="str">
        <x:v>Punya keduanya</x:v>
      </x:c>
      <x:c r="B19" s="66" t="n">
        <x:f>$B$8</x:f>
        <x:v>24</x:v>
      </x:c>
      <x:c r="C19" s="66" t="str">
        <x:v>Retention test</x:v>
      </x:c>
      <x:c r="D19" s="66" t="str">
        <x:v>Membership pakhusnul.id</x:v>
      </x:c>
      <x:c r="E19" s="99" t="n">
        <x:v>9000</x:v>
      </x:c>
      <x:c r="F19" s="67" t="n">
        <x:v>0.2</x:v>
      </x:c>
      <x:c r="G19" s="72" t="n">
        <x:f>B19*F19</x:f>
        <x:v>4.800000000000001</x:v>
      </x:c>
      <x:c r="H19" s="99" t="n">
        <x:f>G19*E19</x:f>
        <x:v>43200.00000000001</x:v>
      </x:c>
      <x:c r="I19" s="66" t="n">
        <x:v>12</x:v>
      </x:c>
      <x:c r="J19" s="66" t="str">
        <x:v>Inner circle/update/workflow rutin; bukan revenue engine utama.</x:v>
      </x:c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>
      <x:c r="A20" s="66" t="str">
        <x:v>BuatSoal Max</x:v>
      </x:c>
      <x:c r="B20" s="66" t="n">
        <x:f>$B$12</x:f>
        <x:v>20</x:v>
      </x:c>
      <x:c r="C20" s="66" t="str">
        <x:v>Advocacy</x:v>
      </x:c>
      <x:c r="D20" s="66" t="str">
        <x:v>Affiliate / Advocate</x:v>
      </x:c>
      <x:c r="E20" s="99" t="n">
        <x:v>0</x:v>
      </x:c>
      <x:c r="F20" s="67" t="n">
        <x:v>0.1</x:v>
      </x:c>
      <x:c r="G20" s="72" t="n">
        <x:f>B20*F20</x:f>
        <x:v>2</x:v>
      </x:c>
      <x:c r="H20" s="99" t="n">
        <x:f>G20*E20</x:f>
        <x:v>0</x:v>
      </x:c>
      <x:c r="I20" s="66" t="n">
        <x:v>12</x:v>
      </x:c>
      <x:c r="J20" s="66" t="str">
        <x:v>Ubah user puas menjadi advocate/affiliate jika cocok.</x:v>
      </x:c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</x:sheetData>
  <x:mergeCells>
    <x:mergeCell ref="A1:J1"/>
    <x:mergeCell ref="A2:J2"/>
    <x:mergeCell ref="A4:B4"/>
    <x:mergeCell ref="D4:E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" hidden="0" customWidth="1"/>
    <x:col min="3" max="3" width="25" hidden="0" customWidth="1"/>
    <x:col min="4" max="4" width="22" hidden="0" customWidth="1"/>
    <x:col min="5" max="5" width="24" hidden="0" customWidth="1"/>
    <x:col min="6" max="6" width="14" hidden="0" customWidth="1"/>
    <x:col min="7" max="7" width="20" hidden="0" customWidth="1"/>
    <x:col min="8" max="8" width="34" hidden="0" customWidth="1"/>
    <x:col min="9" max="9" width="28" hidden="0" customWidth="1"/>
    <x:col min="10" max="10" width="20" hidden="0" customWidth="1"/>
    <x:col min="11" max="11" width="22" hidden="0" customWidth="1"/>
    <x:col min="12" max="12" width="14" hidden="0" customWidth="1"/>
  </x:cols>
  <x:sheetData>
    <x:row r="1" ht="32" customHeight="1">
      <x:c r="A1" s="91" t="str">
        <x:v>CAMPAIGN PLANNER — HERO PRODUCT FIRST</x:v>
      </x:c>
      <x:c r="B1" s="91"/>
      <x:c r="C1" s="91"/>
      <x:c r="D1" s="91"/>
      <x:c r="E1" s="91"/>
      <x:c r="F1" s="91"/>
      <x:c r="G1" s="91"/>
      <x:c r="H1" s="91"/>
      <x:c r="I1" s="91"/>
      <x:c r="J1" s="91"/>
      <x:c r="K1" s="91"/>
      <x:c r="L1" s="91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</x:row>
    <x:row r="2" ht="22" customHeight="1">
      <x:c r="A2" s="93" t="str">
        <x:v>Default: harga normal + demo/proof/bonus. Diskon hanya event khusus.</x:v>
      </x:c>
      <x:c r="B2" s="93"/>
      <x:c r="C2" s="93"/>
      <x:c r="D2" s="93"/>
      <x:c r="E2" s="93"/>
      <x:c r="F2" s="93"/>
      <x:c r="G2" s="93"/>
      <x:c r="H2" s="93"/>
      <x:c r="I2" s="93"/>
      <x:c r="J2" s="93"/>
      <x:c r="K2" s="93"/>
      <x:c r="L2" s="93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  <x:c r="U3" s="60"/>
      <x:c r="V3" s="60"/>
      <x:c r="W3" s="60"/>
      <x:c r="X3" s="60"/>
      <x:c r="Y3" s="60"/>
      <x:c r="Z3" s="60"/>
    </x:row>
    <x:row r="4" ht="30" customHeight="1">
      <x:c r="A4" s="97" t="str">
        <x:v>ID</x:v>
      </x:c>
      <x:c r="B4" s="97" t="str">
        <x:v>Week</x:v>
      </x:c>
      <x:c r="C4" s="97" t="str">
        <x:v>Campaign</x:v>
      </x:c>
      <x:c r="D4" s="97" t="str">
        <x:v>Audience</x:v>
      </x:c>
      <x:c r="E4" s="97" t="str">
        <x:v>Primary Offer</x:v>
      </x:c>
      <x:c r="F4" s="97" t="str">
        <x:v>Price</x:v>
      </x:c>
      <x:c r="G4" s="97" t="str">
        <x:v>Objective</x:v>
      </x:c>
      <x:c r="H4" s="97" t="str">
        <x:v>Angle Utama</x:v>
      </x:c>
      <x:c r="I4" s="97" t="str">
        <x:v>CTA / Destination</x:v>
      </x:c>
      <x:c r="J4" s="97" t="str">
        <x:v>Primary Channel</x:v>
      </x:c>
      <x:c r="K4" s="97" t="str">
        <x:v>Success KPI</x:v>
      </x:c>
      <x:c r="L4" s="97" t="str">
        <x:v>Status</x:v>
      </x:c>
      <x:c r="M4" s="60"/>
      <x:c r="N4" s="60"/>
      <x:c r="O4" s="60"/>
      <x:c r="P4" s="60"/>
      <x:c r="Q4" s="60"/>
      <x:c r="R4" s="60"/>
      <x:c r="S4" s="60"/>
      <x:c r="T4" s="60"/>
      <x:c r="U4" s="60"/>
      <x:c r="V4" s="60"/>
      <x:c r="W4" s="60"/>
      <x:c r="X4" s="60"/>
      <x:c r="Y4" s="60"/>
      <x:c r="Z4" s="60"/>
    </x:row>
    <x:row r="5" ht="42" customHeight="1">
      <x:c r="A5" s="66" t="str">
        <x:v>C01</x:v>
      </x:c>
      <x:c r="B5" s="66" t="n">
        <x:v>1</x:v>
      </x:c>
      <x:c r="C5" s="66" t="str">
        <x:v>Reset &amp; Segment</x:v>
      </x:c>
      <x:c r="D5" s="66" t="str">
        <x:v>Existing buyers</x:v>
      </x:c>
      <x:c r="E5" s="66" t="str">
        <x:v>—</x:v>
      </x:c>
      <x:c r="F5" s="99" t="n">
        <x:v>0</x:v>
      </x:c>
      <x:c r="G5" s="66" t="str">
        <x:v>Clean data &amp; segmentation</x:v>
      </x:c>
      <x:c r="H5" s="66" t="str">
        <x:v>Kenali pool tercepat sebelum jualan</x:v>
      </x:c>
      <x:c r="I5" s="66" t="str">
        <x:v>Post &amp; Cuan + segment customer</x:v>
      </x:c>
      <x:c r="J5" s="66" t="str">
        <x:v>Internal</x:v>
      </x:c>
      <x:c r="K5" s="66" t="str">
        <x:v>Data siap + segmen jelas</x:v>
      </x:c>
      <x:c r="L5" s="66" t="str">
        <x:v>Planned</x:v>
      </x:c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0"/>
      <x:c r="Z5" s="60"/>
    </x:row>
    <x:row r="6" ht="42" customHeight="1">
      <x:c r="A6" s="66" t="str">
        <x:v>C02</x:v>
      </x:c>
      <x:c r="B6" s="66" t="n">
        <x:v>2</x:v>
      </x:c>
      <x:c r="C6" s="66" t="str">
        <x:v>ModulAjar → BuatSoal</x:v>
      </x:c>
      <x:c r="D6" s="66" t="str">
        <x:v>ModulAjar-only</x:v>
      </x:c>
      <x:c r="E6" s="66" t="str">
        <x:v>BuatSoal Pro</x:v>
      </x:c>
      <x:c r="F6" s="99" t="n">
        <x:v>149000</x:v>
      </x:c>
      <x:c r="G6" s="66" t="str">
        <x:v>Cross-sell</x:v>
      </x:c>
      <x:c r="H6" s="66" t="str">
        <x:v>Setelah modul, lanjut asesmen</x:v>
      </x:c>
      <x:c r="I6" s="66" t="str">
        <x:v>Order BuatSoal / WA</x:v>
      </x:c>
      <x:c r="J6" s="66" t="str">
        <x:v>WA</x:v>
      </x:c>
      <x:c r="K6" s="66" t="str">
        <x:v>10–15 sales</x:v>
      </x:c>
      <x:c r="L6" s="66" t="str">
        <x:v>Planned</x:v>
      </x:c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0"/>
      <x:c r="Z6" s="60"/>
    </x:row>
    <x:row r="7" ht="42" customHeight="1">
      <x:c r="A7" s="66" t="str">
        <x:v>C03</x:v>
      </x:c>
      <x:c r="B7" s="66" t="n">
        <x:v>3</x:v>
      </x:c>
      <x:c r="C7" s="66" t="str">
        <x:v>Lead Magnet Acquisition</x:v>
      </x:c>
      <x:c r="D7" s="66" t="str">
        <x:v>Audience baru</x:v>
      </x:c>
      <x:c r="E7" s="66" t="str">
        <x:v>Lead magnet</x:v>
      </x:c>
      <x:c r="F7" s="99" t="n">
        <x:v>0</x:v>
      </x:c>
      <x:c r="G7" s="66" t="str">
        <x:v>Tambah kolam</x:v>
      </x:c>
      <x:c r="H7" s="66" t="str">
        <x:v>Template/toolkit gratis high-intent</x:v>
      </x:c>
      <x:c r="I7" s="66" t="str">
        <x:v>Masuk Guru Mahir AI</x:v>
      </x:c>
      <x:c r="J7" s="66" t="str">
        <x:v>TikTok/Threads</x:v>
      </x:c>
      <x:c r="K7" s="66" t="str">
        <x:v>New WA leads</x:v>
      </x:c>
      <x:c r="L7" s="66" t="str">
        <x:v>Planned</x:v>
      </x:c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 ht="42" customHeight="1">
      <x:c r="A8" s="66" t="str">
        <x:v>C04</x:v>
      </x:c>
      <x:c r="B8" s="66" t="n">
        <x:v>4</x:v>
      </x:c>
      <x:c r="C8" s="66" t="str">
        <x:v>Pro → Max</x:v>
      </x:c>
      <x:c r="D8" s="66" t="str">
        <x:v>BuatSoal Pro</x:v>
      </x:c>
      <x:c r="E8" s="66" t="str">
        <x:v>Upgrade Max</x:v>
      </x:c>
      <x:c r="F8" s="99" t="n">
        <x:v>100000</x:v>
      </x:c>
      <x:c r="G8" s="66" t="str">
        <x:v>Upgrade</x:v>
      </x:c>
      <x:c r="H8" s="66" t="str">
        <x:v>Bayar selisih, manfaat lebih jelas</x:v>
      </x:c>
      <x:c r="I8" s="66" t="str">
        <x:v>Upgrade via WA/app</x:v>
      </x:c>
      <x:c r="J8" s="66" t="str">
        <x:v>WA</x:v>
      </x:c>
      <x:c r="K8" s="66" t="str">
        <x:v>15–20 upgrades</x:v>
      </x:c>
      <x:c r="L8" s="66" t="str">
        <x:v>Planned</x:v>
      </x:c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 ht="42" customHeight="1">
      <x:c r="A9" s="66" t="str">
        <x:v>C05</x:v>
      </x:c>
      <x:c r="B9" s="66" t="n">
        <x:v>5</x:v>
      </x:c>
      <x:c r="C9" s="66" t="str">
        <x:v>2 Lead Magnet Paths</x:v>
      </x:c>
      <x:c r="D9" s="66" t="str">
        <x:v>Cold audience</x:v>
      </x:c>
      <x:c r="E9" s="66" t="str">
        <x:v>ModulAjar/BuatSoal funnel</x:v>
      </x:c>
      <x:c r="F9" s="99" t="n">
        <x:v>0</x:v>
      </x:c>
      <x:c r="G9" s="66" t="str">
        <x:v>Segment intent</x:v>
      </x:c>
      <x:c r="H9" s="66" t="str">
        <x:v>Lead magnet spesifik masalah</x:v>
      </x:c>
      <x:c r="I9" s="66" t="str">
        <x:v>WA group / landing</x:v>
      </x:c>
      <x:c r="J9" s="66" t="str">
        <x:v>TikTok/Threads</x:v>
      </x:c>
      <x:c r="K9" s="66" t="str">
        <x:v>150–200 leads/mo</x:v>
      </x:c>
      <x:c r="L9" s="66" t="str">
        <x:v>Planned</x:v>
      </x:c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 ht="42" customHeight="1">
      <x:c r="A10" s="66" t="str">
        <x:v>C06</x:v>
      </x:c>
      <x:c r="B10" s="66" t="n">
        <x:v>6</x:v>
      </x:c>
      <x:c r="C10" s="66" t="str">
        <x:v>Affiliate Sprint #1</x:v>
      </x:c>
      <x:c r="D10" s="66" t="str">
        <x:v>Affiliate existing</x:v>
      </x:c>
      <x:c r="E10" s="66" t="str">
        <x:v>ModulAjar</x:v>
      </x:c>
      <x:c r="F10" s="99" t="n">
        <x:v>149000</x:v>
      </x:c>
      <x:c r="G10" s="66" t="str">
        <x:v>Affiliate activation</x:v>
      </x:c>
      <x:c r="H10" s="66" t="str">
        <x:v>1 hero product, 1 angle, 1 kit</x:v>
      </x:c>
      <x:c r="I10" s="66" t="str">
        <x:v>Affiliate campaign</x:v>
      </x:c>
      <x:c r="J10" s="66" t="str">
        <x:v>Affiliate</x:v>
      </x:c>
      <x:c r="K10" s="66" t="str">
        <x:v>≥5 active affiliate</x:v>
      </x:c>
      <x:c r="L10" s="66" t="str">
        <x:v>Planned</x:v>
      </x:c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 ht="42" customHeight="1">
      <x:c r="A11" s="66" t="str">
        <x:v>C07</x:v>
      </x:c>
      <x:c r="B11" s="66" t="n">
        <x:v>7</x:v>
      </x:c>
      <x:c r="C11" s="66" t="str">
        <x:v>BuatSoal Normal Price</x:v>
      </x:c>
      <x:c r="D11" s="66" t="str">
        <x:v>Warm audience</x:v>
      </x:c>
      <x:c r="E11" s="66" t="str">
        <x:v>BuatSoal Pro/Max</x:v>
      </x:c>
      <x:c r="F11" s="99" t="n">
        <x:v>149000</x:v>
      </x:c>
      <x:c r="G11" s="66" t="str">
        <x:v>Core sales</x:v>
      </x:c>
      <x:c r="H11" s="66" t="str">
        <x:v>Demo hasil, bukan fitur</x:v>
      </x:c>
      <x:c r="I11" s="66" t="str">
        <x:v>Order normal price</x:v>
      </x:c>
      <x:c r="J11" s="66" t="str">
        <x:v>WA + repurpose</x:v>
      </x:c>
      <x:c r="K11" s="66" t="str">
        <x:v>Sales + conversion</x:v>
      </x:c>
      <x:c r="L11" s="66" t="str">
        <x:v>Planned</x:v>
      </x:c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 ht="42" customHeight="1">
      <x:c r="A12" s="66" t="str">
        <x:v>C08</x:v>
      </x:c>
      <x:c r="B12" s="66" t="n">
        <x:v>8</x:v>
      </x:c>
      <x:c r="C12" s="66" t="str">
        <x:v>ModulAjar Normal Price</x:v>
      </x:c>
      <x:c r="D12" s="66" t="str">
        <x:v>Warm audience</x:v>
      </x:c>
      <x:c r="E12" s="66" t="str">
        <x:v>ModulAjar</x:v>
      </x:c>
      <x:c r="F12" s="99" t="n">
        <x:v>149000</x:v>
      </x:c>
      <x:c r="G12" s="66" t="str">
        <x:v>Core sales</x:v>
      </x:c>
      <x:c r="H12" s="66" t="str">
        <x:v>Time saved + output nyata</x:v>
      </x:c>
      <x:c r="I12" s="66" t="str">
        <x:v>Order normal price</x:v>
      </x:c>
      <x:c r="J12" s="66" t="str">
        <x:v>WA + repurpose</x:v>
      </x:c>
      <x:c r="K12" s="66" t="str">
        <x:v>Sales + conversion</x:v>
      </x:c>
      <x:c r="L12" s="66" t="str">
        <x:v>Planned</x:v>
      </x:c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 ht="42" customHeight="1">
      <x:c r="A13" s="66" t="str">
        <x:v>C09</x:v>
      </x:c>
      <x:c r="B13" s="66" t="n">
        <x:v>10</x:v>
      </x:c>
      <x:c r="C13" s="66" t="str">
        <x:v>Affiliate Sprint #2</x:v>
      </x:c>
      <x:c r="D13" s="66" t="str">
        <x:v>Affiliate existing</x:v>
      </x:c>
      <x:c r="E13" s="66" t="str">
        <x:v>BuatSoal</x:v>
      </x:c>
      <x:c r="F13" s="99" t="n">
        <x:v>149000</x:v>
      </x:c>
      <x:c r="G13" s="66" t="str">
        <x:v>Scale affiliate</x:v>
      </x:c>
      <x:c r="H13" s="66" t="str">
        <x:v>New-customer acquisition</x:v>
      </x:c>
      <x:c r="I13" s="66" t="str">
        <x:v>Affiliate campaign</x:v>
      </x:c>
      <x:c r="J13" s="66" t="str">
        <x:v>Affiliate</x:v>
      </x:c>
      <x:c r="K13" s="66" t="str">
        <x:v>10–15 active</x:v>
      </x:c>
      <x:c r="L13" s="66" t="str">
        <x:v>Planned</x:v>
      </x:c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 ht="42" customHeight="1">
      <x:c r="A14" s="66" t="str">
        <x:v>C10</x:v>
      </x:c>
      <x:c r="B14" s="66" t="n">
        <x:v>11</x:v>
      </x:c>
      <x:c r="C14" s="66" t="str">
        <x:v>BuatSoal → ModulAjar</x:v>
      </x:c>
      <x:c r="D14" s="66" t="str">
        <x:v>BuatSoal-only</x:v>
      </x:c>
      <x:c r="E14" s="66" t="str">
        <x:v>ModulAjar</x:v>
      </x:c>
      <x:c r="F14" s="99" t="n">
        <x:v>149000</x:v>
      </x:c>
      <x:c r="G14" s="66" t="str">
        <x:v>Reverse cross-sell</x:v>
      </x:c>
      <x:c r="H14" s="66" t="str">
        <x:v>Soal mudah, perencanaan ikut mudah</x:v>
      </x:c>
      <x:c r="I14" s="66" t="str">
        <x:v>Order ModulAjar</x:v>
      </x:c>
      <x:c r="J14" s="66" t="str">
        <x:v>Segmented WA</x:v>
      </x:c>
      <x:c r="K14" s="66" t="str">
        <x:v>~10% conversion</x:v>
      </x:c>
      <x:c r="L14" s="66" t="str">
        <x:v>Planned</x:v>
      </x:c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 ht="42" customHeight="1">
      <x:c r="A15" s="66" t="str">
        <x:v>C11</x:v>
      </x:c>
      <x:c r="B15" s="66" t="n">
        <x:v>12</x:v>
      </x:c>
      <x:c r="C15" s="66" t="str">
        <x:v>Retention Layer</x:v>
      </x:c>
      <x:c r="D15" s="66" t="str">
        <x:v>Loyal buyers</x:v>
      </x:c>
      <x:c r="E15" s="66" t="str">
        <x:v>Membership</x:v>
      </x:c>
      <x:c r="F15" s="99" t="n">
        <x:v>9000</x:v>
      </x:c>
      <x:c r="G15" s="66" t="str">
        <x:v>Validate MRR</x:v>
      </x:c>
      <x:c r="H15" s="66" t="str">
        <x:v>Inner circle / update / workflow</x:v>
      </x:c>
      <x:c r="I15" s="66" t="str">
        <x:v>Join membership</x:v>
      </x:c>
      <x:c r="J15" s="66" t="str">
        <x:v>WA</x:v>
      </x:c>
      <x:c r="K15" s="66" t="str">
        <x:v>25–50 active</x:v>
      </x:c>
      <x:c r="L15" s="66" t="str">
        <x:v>Planned</x:v>
      </x:c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 ht="42" customHeight="1">
      <x:c r="A16" s="66" t="str">
        <x:v>C12</x:v>
      </x:c>
      <x:c r="B16" s="66" t="n">
        <x:v>13</x:v>
      </x:c>
      <x:c r="C16" s="66" t="str">
        <x:v>Scale Winner</x:v>
      </x:c>
      <x:c r="D16" s="66" t="str">
        <x:v>Winning segments</x:v>
      </x:c>
      <x:c r="E16" s="66" t="str">
        <x:v>Best offer</x:v>
      </x:c>
      <x:c r="F16" s="99" t="str">
        <x:v>—</x:v>
      </x:c>
      <x:c r="G16" s="66" t="str">
        <x:v>Decision</x:v>
      </x:c>
      <x:c r="H16" s="66" t="str">
        <x:v>Double down only on proven engine</x:v>
      </x:c>
      <x:c r="I16" s="66" t="str">
        <x:v>Next 90-day plan</x:v>
      </x:c>
      <x:c r="J16" s="66" t="str">
        <x:v>All winners</x:v>
      </x:c>
      <x:c r="K16" s="66" t="str">
        <x:v>500K/day run-rate</x:v>
      </x:c>
      <x:c r="L16" s="66" t="str">
        <x:v>Planned</x:v>
      </x:c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</x:sheetData>
  <x:mergeCells>
    <x:mergeCell ref="A1:L1"/>
    <x:mergeCell ref="A2:L2"/>
  </x:mergeCells>
  <x:dataValidations count="1">
    <x:dataValidation type="list" sqref="L5:L16">
      <x:formula1>"Planned,In Progress,Done,Stopped"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2" hidden="0" customWidth="1"/>
    <x:col min="4" max="4" width="22" hidden="0" customWidth="1"/>
    <x:col min="5" max="5" width="22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3" hidden="0" customWidth="1"/>
    <x:col min="12" max="12" width="30" hidden="0" customWidth="1"/>
  </x:cols>
  <x:sheetData>
    <x:row r="1" ht="32" customHeight="1">
      <x:c r="A1" s="91" t="str">
        <x:v>AFFILIATE ACTIVATION ENGINE</x:v>
      </x:c>
      <x:c r="B1" s="91"/>
      <x:c r="C1" s="91"/>
      <x:c r="D1" s="91"/>
      <x:c r="E1" s="91"/>
      <x:c r="F1" s="91"/>
      <x:c r="G1" s="91"/>
      <x:c r="H1" s="91"/>
      <x:c r="I1" s="91"/>
      <x:c r="J1" s="91"/>
      <x:c r="K1" s="91"/>
      <x:c r="L1" s="91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</x:row>
    <x:row r="2" ht="22" customHeight="1">
      <x:c r="A2" s="93" t="str">
        <x:v>Affiliate = channel penjualan produk sendiri. Komisi 40% dihitung sebagai cost of acquisition setelah sale.</x:v>
      </x:c>
      <x:c r="B2" s="93"/>
      <x:c r="C2" s="93"/>
      <x:c r="D2" s="93"/>
      <x:c r="E2" s="93"/>
      <x:c r="F2" s="93"/>
      <x:c r="G2" s="93"/>
      <x:c r="H2" s="93"/>
      <x:c r="I2" s="93"/>
      <x:c r="J2" s="93"/>
      <x:c r="K2" s="93"/>
      <x:c r="L2" s="93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  <x:c r="U3" s="60"/>
      <x:c r="V3" s="60"/>
      <x:c r="W3" s="60"/>
      <x:c r="X3" s="60"/>
      <x:c r="Y3" s="60"/>
      <x:c r="Z3" s="60"/>
    </x:row>
    <x:row r="4" ht="22" customHeight="1">
      <x:c r="A4" s="95" t="str">
        <x:v>SUMMARY</x:v>
      </x:c>
      <x:c r="B4" s="95"/>
      <x:c r="C4" s="95"/>
      <x:c r="D4" s="95" t="str">
        <x:v>PRINSIP OPERASI</x:v>
      </x:c>
      <x:c r="E4" s="95"/>
      <x:c r="F4" s="95"/>
      <x:c r="G4" s="95"/>
      <x:c r="H4" s="95"/>
      <x:c r="I4" s="95"/>
      <x:c r="J4" s="95"/>
      <x:c r="K4" s="95"/>
      <x:c r="L4" s="95"/>
      <x:c r="M4" s="60"/>
      <x:c r="N4" s="60"/>
      <x:c r="O4" s="60"/>
      <x:c r="P4" s="60"/>
      <x:c r="Q4" s="60"/>
      <x:c r="R4" s="60"/>
      <x:c r="S4" s="60"/>
      <x:c r="T4" s="60"/>
      <x:c r="U4" s="60"/>
      <x:c r="V4" s="60"/>
      <x:c r="W4" s="60"/>
      <x:c r="X4" s="60"/>
      <x:c r="Y4" s="60"/>
      <x:c r="Z4" s="60"/>
    </x:row>
    <x:row r="5">
      <x:c r="A5" s="66" t="str">
        <x:v>Target active affiliate Fase 1</x:v>
      </x:c>
      <x:c r="B5" s="66" t="n">
        <x:v>5</x:v>
      </x:c>
      <x:c r="C5" s="60"/>
      <x:c r="D5" s="66" t="str">
        <x:v>1 hero product / week</x:v>
      </x:c>
      <x:c r="E5" s="66"/>
      <x:c r="F5" s="66"/>
      <x:c r="G5" s="66"/>
      <x:c r="H5" s="66"/>
      <x:c r="I5" s="66"/>
      <x:c r="J5" s="66"/>
      <x:c r="K5" s="66"/>
      <x:c r="L5" s="66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0"/>
      <x:c r="Z5" s="60"/>
    </x:row>
    <x:row r="6">
      <x:c r="A6" s="66" t="str">
        <x:v>Target active affiliate Fase 2</x:v>
      </x:c>
      <x:c r="B6" s="66" t="n">
        <x:v>12</x:v>
      </x:c>
      <x:c r="C6" s="60"/>
      <x:c r="D6" s="66" t="str">
        <x:v>Ukur Active Affiliate, bukan jumlah orang di grup</x:v>
      </x:c>
      <x:c r="E6" s="66"/>
      <x:c r="F6" s="66"/>
      <x:c r="G6" s="66"/>
      <x:c r="H6" s="66"/>
      <x:c r="I6" s="66"/>
      <x:c r="J6" s="66"/>
      <x:c r="K6" s="66"/>
      <x:c r="L6" s="66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0"/>
      <x:c r="Z6" s="60"/>
    </x:row>
    <x:row r="7">
      <x:c r="A7" s="66" t="str">
        <x:v>Target active affiliate Fase 3</x:v>
      </x:c>
      <x:c r="B7" s="66" t="n">
        <x:v>20</x:v>
      </x:c>
      <x:c r="C7" s="60"/>
      <x:c r="D7" s="66" t="str">
        <x:v>New Customer Rate lebih penting daripada sekadar GMV</x:v>
      </x:c>
      <x:c r="E7" s="66"/>
      <x:c r="F7" s="66"/>
      <x:c r="G7" s="66"/>
      <x:c r="H7" s="66"/>
      <x:c r="I7" s="66"/>
      <x:c r="J7" s="66"/>
      <x:c r="K7" s="66"/>
      <x:c r="L7" s="66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>
      <x:c r="A8" s="66" t="str">
        <x:v>Active affiliate aktual</x:v>
      </x:c>
      <x:c r="B8" s="66" t="n">
        <x:f>COUNTIF(C15:C44,"Active")</x:f>
        <x:v>0</x:v>
      </x:c>
      <x:c r="C8" s="60"/>
      <x:c r="D8" s="66" t="str">
        <x:v>Marketing kit yang sudah ada dipakai ulang; tambahkan weekly angle + objection handling</x:v>
      </x:c>
      <x:c r="E8" s="66"/>
      <x:c r="F8" s="66"/>
      <x:c r="G8" s="66"/>
      <x:c r="H8" s="66"/>
      <x:c r="I8" s="66"/>
      <x:c r="J8" s="66"/>
      <x:c r="K8" s="66"/>
      <x:c r="L8" s="66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>
      <x:c r="A9" s="66" t="str">
        <x:v>Total gross affiliate</x:v>
      </x:c>
      <x:c r="B9" s="99" t="n">
        <x:f>SUM(G15:G44)</x:f>
        <x:v>0</x:v>
      </x:c>
      <x:c r="C9" s="60"/>
      <x:c r="D9" s="66" t="str">
        <x:v>Jangan tambah banyak produk ke affiliate sekaligus</x:v>
      </x:c>
      <x:c r="E9" s="66"/>
      <x:c r="F9" s="66"/>
      <x:c r="G9" s="66"/>
      <x:c r="H9" s="66"/>
      <x:c r="I9" s="66"/>
      <x:c r="J9" s="66"/>
      <x:c r="K9" s="66"/>
      <x:c r="L9" s="66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>
      <x:c r="A10" s="66" t="str">
        <x:v>Net revenue setelah komisi</x:v>
      </x:c>
      <x:c r="B10" s="99" t="n">
        <x:f>SUM(I15:I44)</x:f>
        <x:v>0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>
      <x:c r="A11" s="60"/>
      <x:c r="B11" s="60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>
      <x:c r="A12" s="60"/>
      <x:c r="B12" s="60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 ht="30" customHeight="1">
      <x:c r="A14" s="97" t="str">
        <x:v>Affiliate</x:v>
      </x:c>
      <x:c r="B14" s="97" t="str">
        <x:v>Join Date</x:v>
      </x:c>
      <x:c r="C14" s="97" t="str">
        <x:v>Status</x:v>
      </x:c>
      <x:c r="D14" s="97" t="str">
        <x:v>Hero Product</x:v>
      </x:c>
      <x:c r="E14" s="97" t="str">
        <x:v>Audience</x:v>
      </x:c>
      <x:c r="F14" s="97" t="str">
        <x:v>Sales Count</x:v>
      </x:c>
      <x:c r="G14" s="97" t="str">
        <x:v>Gross Sales</x:v>
      </x:c>
      <x:c r="H14" s="97" t="str">
        <x:v>Commission</x:v>
      </x:c>
      <x:c r="I14" s="97" t="str">
        <x:v>Net Revenue</x:v>
      </x:c>
      <x:c r="J14" s="97" t="str">
        <x:v>New Customers</x:v>
      </x:c>
      <x:c r="K14" s="97" t="str">
        <x:v>Last Active</x:v>
      </x:c>
      <x:c r="L14" s="97" t="str">
        <x:v>Notes</x:v>
      </x:c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>
      <x:c r="A15" s="66" t="str"/>
      <x:c r="B15" s="87"/>
      <x:c r="C15" s="66" t="str">
        <x:v>Dormant</x:v>
      </x:c>
      <x:c r="D15" s="66" t="str">
        <x:v>ModulAjar Online</x:v>
      </x:c>
      <x:c r="E15" s="66" t="str"/>
      <x:c r="F15" s="66" t="n">
        <x:v>0</x:v>
      </x:c>
      <x:c r="G15" s="99" t="n">
        <x:v>0</x:v>
      </x:c>
      <x:c r="H15" s="99" t="n">
        <x:f>G15*Dashboard!$B$10</x:f>
        <x:v>0</x:v>
      </x:c>
      <x:c r="I15" s="99" t="n">
        <x:f>G15-H15</x:f>
        <x:v>0</x:v>
      </x:c>
      <x:c r="J15" s="66" t="n">
        <x:v>0</x:v>
      </x:c>
      <x:c r="K15" s="87"/>
      <x:c r="L15" s="66" t="str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>
      <x:c r="A16" s="66" t="str"/>
      <x:c r="B16" s="87"/>
      <x:c r="C16" s="66" t="str">
        <x:v>Dormant</x:v>
      </x:c>
      <x:c r="D16" s="66" t="str">
        <x:v>ModulAjar Online</x:v>
      </x:c>
      <x:c r="E16" s="66" t="str"/>
      <x:c r="F16" s="66" t="n">
        <x:v>0</x:v>
      </x:c>
      <x:c r="G16" s="99" t="n">
        <x:v>0</x:v>
      </x:c>
      <x:c r="H16" s="99" t="n">
        <x:f>G16*Dashboard!$B$10</x:f>
        <x:v>0</x:v>
      </x:c>
      <x:c r="I16" s="99" t="n">
        <x:f>G16-H16</x:f>
        <x:v>0</x:v>
      </x:c>
      <x:c r="J16" s="66" t="n">
        <x:v>0</x:v>
      </x:c>
      <x:c r="K16" s="87"/>
      <x:c r="L16" s="66" t="str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>
      <x:c r="A17" s="66" t="str"/>
      <x:c r="B17" s="87"/>
      <x:c r="C17" s="66" t="str">
        <x:v>Dormant</x:v>
      </x:c>
      <x:c r="D17" s="66" t="str">
        <x:v>ModulAjar Online</x:v>
      </x:c>
      <x:c r="E17" s="66" t="str"/>
      <x:c r="F17" s="66" t="n">
        <x:v>0</x:v>
      </x:c>
      <x:c r="G17" s="99" t="n">
        <x:v>0</x:v>
      </x:c>
      <x:c r="H17" s="99" t="n">
        <x:f>G17*Dashboard!$B$10</x:f>
        <x:v>0</x:v>
      </x:c>
      <x:c r="I17" s="99" t="n">
        <x:f>G17-H17</x:f>
        <x:v>0</x:v>
      </x:c>
      <x:c r="J17" s="66" t="n">
        <x:v>0</x:v>
      </x:c>
      <x:c r="K17" s="87"/>
      <x:c r="L17" s="66" t="str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>
      <x:c r="A18" s="66" t="str"/>
      <x:c r="B18" s="87"/>
      <x:c r="C18" s="66" t="str">
        <x:v>Dormant</x:v>
      </x:c>
      <x:c r="D18" s="66" t="str">
        <x:v>ModulAjar Online</x:v>
      </x:c>
      <x:c r="E18" s="66" t="str"/>
      <x:c r="F18" s="66" t="n">
        <x:v>0</x:v>
      </x:c>
      <x:c r="G18" s="99" t="n">
        <x:v>0</x:v>
      </x:c>
      <x:c r="H18" s="99" t="n">
        <x:f>G18*Dashboard!$B$10</x:f>
        <x:v>0</x:v>
      </x:c>
      <x:c r="I18" s="99" t="n">
        <x:f>G18-H18</x:f>
        <x:v>0</x:v>
      </x:c>
      <x:c r="J18" s="66" t="n">
        <x:v>0</x:v>
      </x:c>
      <x:c r="K18" s="87"/>
      <x:c r="L18" s="66" t="str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>
      <x:c r="A19" s="66" t="str"/>
      <x:c r="B19" s="87"/>
      <x:c r="C19" s="66" t="str">
        <x:v>Dormant</x:v>
      </x:c>
      <x:c r="D19" s="66" t="str">
        <x:v>ModulAjar Online</x:v>
      </x:c>
      <x:c r="E19" s="66" t="str"/>
      <x:c r="F19" s="66" t="n">
        <x:v>0</x:v>
      </x:c>
      <x:c r="G19" s="99" t="n">
        <x:v>0</x:v>
      </x:c>
      <x:c r="H19" s="99" t="n">
        <x:f>G19*Dashboard!$B$10</x:f>
        <x:v>0</x:v>
      </x:c>
      <x:c r="I19" s="99" t="n">
        <x:f>G19-H19</x:f>
        <x:v>0</x:v>
      </x:c>
      <x:c r="J19" s="66" t="n">
        <x:v>0</x:v>
      </x:c>
      <x:c r="K19" s="87"/>
      <x:c r="L19" s="66" t="str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>
      <x:c r="A20" s="66" t="str"/>
      <x:c r="B20" s="87"/>
      <x:c r="C20" s="66" t="str">
        <x:v>Dormant</x:v>
      </x:c>
      <x:c r="D20" s="66" t="str">
        <x:v>ModulAjar Online</x:v>
      </x:c>
      <x:c r="E20" s="66" t="str"/>
      <x:c r="F20" s="66" t="n">
        <x:v>0</x:v>
      </x:c>
      <x:c r="G20" s="99" t="n">
        <x:v>0</x:v>
      </x:c>
      <x:c r="H20" s="99" t="n">
        <x:f>G20*Dashboard!$B$10</x:f>
        <x:v>0</x:v>
      </x:c>
      <x:c r="I20" s="99" t="n">
        <x:f>G20-H20</x:f>
        <x:v>0</x:v>
      </x:c>
      <x:c r="J20" s="66" t="n">
        <x:v>0</x:v>
      </x:c>
      <x:c r="K20" s="87"/>
      <x:c r="L20" s="66" t="str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>
      <x:c r="A21" s="66" t="str"/>
      <x:c r="B21" s="87"/>
      <x:c r="C21" s="66" t="str">
        <x:v>Dormant</x:v>
      </x:c>
      <x:c r="D21" s="66" t="str">
        <x:v>ModulAjar Online</x:v>
      </x:c>
      <x:c r="E21" s="66" t="str"/>
      <x:c r="F21" s="66" t="n">
        <x:v>0</x:v>
      </x:c>
      <x:c r="G21" s="99" t="n">
        <x:v>0</x:v>
      </x:c>
      <x:c r="H21" s="99" t="n">
        <x:f>G21*Dashboard!$B$10</x:f>
        <x:v>0</x:v>
      </x:c>
      <x:c r="I21" s="99" t="n">
        <x:f>G21-H21</x:f>
        <x:v>0</x:v>
      </x:c>
      <x:c r="J21" s="66" t="n">
        <x:v>0</x:v>
      </x:c>
      <x:c r="K21" s="87"/>
      <x:c r="L21" s="66" t="str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>
      <x:c r="A22" s="66" t="str"/>
      <x:c r="B22" s="87"/>
      <x:c r="C22" s="66" t="str">
        <x:v>Dormant</x:v>
      </x:c>
      <x:c r="D22" s="66" t="str">
        <x:v>ModulAjar Online</x:v>
      </x:c>
      <x:c r="E22" s="66" t="str"/>
      <x:c r="F22" s="66" t="n">
        <x:v>0</x:v>
      </x:c>
      <x:c r="G22" s="99" t="n">
        <x:v>0</x:v>
      </x:c>
      <x:c r="H22" s="99" t="n">
        <x:f>G22*Dashboard!$B$10</x:f>
        <x:v>0</x:v>
      </x:c>
      <x:c r="I22" s="99" t="n">
        <x:f>G22-H22</x:f>
        <x:v>0</x:v>
      </x:c>
      <x:c r="J22" s="66" t="n">
        <x:v>0</x:v>
      </x:c>
      <x:c r="K22" s="87"/>
      <x:c r="L22" s="66" t="str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>
      <x:c r="A23" s="66" t="str"/>
      <x:c r="B23" s="87"/>
      <x:c r="C23" s="66" t="str">
        <x:v>Dormant</x:v>
      </x:c>
      <x:c r="D23" s="66" t="str">
        <x:v>ModulAjar Online</x:v>
      </x:c>
      <x:c r="E23" s="66" t="str"/>
      <x:c r="F23" s="66" t="n">
        <x:v>0</x:v>
      </x:c>
      <x:c r="G23" s="99" t="n">
        <x:v>0</x:v>
      </x:c>
      <x:c r="H23" s="99" t="n">
        <x:f>G23*Dashboard!$B$10</x:f>
        <x:v>0</x:v>
      </x:c>
      <x:c r="I23" s="99" t="n">
        <x:f>G23-H23</x:f>
        <x:v>0</x:v>
      </x:c>
      <x:c r="J23" s="66" t="n">
        <x:v>0</x:v>
      </x:c>
      <x:c r="K23" s="87"/>
      <x:c r="L23" s="66" t="str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>
      <x:c r="A24" s="66" t="str"/>
      <x:c r="B24" s="87"/>
      <x:c r="C24" s="66" t="str">
        <x:v>Dormant</x:v>
      </x:c>
      <x:c r="D24" s="66" t="str">
        <x:v>ModulAjar Online</x:v>
      </x:c>
      <x:c r="E24" s="66" t="str"/>
      <x:c r="F24" s="66" t="n">
        <x:v>0</x:v>
      </x:c>
      <x:c r="G24" s="99" t="n">
        <x:v>0</x:v>
      </x:c>
      <x:c r="H24" s="99" t="n">
        <x:f>G24*Dashboard!$B$10</x:f>
        <x:v>0</x:v>
      </x:c>
      <x:c r="I24" s="99" t="n">
        <x:f>G24-H24</x:f>
        <x:v>0</x:v>
      </x:c>
      <x:c r="J24" s="66" t="n">
        <x:v>0</x:v>
      </x:c>
      <x:c r="K24" s="87"/>
      <x:c r="L24" s="66" t="str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>
      <x:c r="A25" s="66" t="str"/>
      <x:c r="B25" s="87"/>
      <x:c r="C25" s="66" t="str">
        <x:v>Dormant</x:v>
      </x:c>
      <x:c r="D25" s="66" t="str">
        <x:v>ModulAjar Online</x:v>
      </x:c>
      <x:c r="E25" s="66" t="str"/>
      <x:c r="F25" s="66" t="n">
        <x:v>0</x:v>
      </x:c>
      <x:c r="G25" s="99" t="n">
        <x:v>0</x:v>
      </x:c>
      <x:c r="H25" s="99" t="n">
        <x:f>G25*Dashboard!$B$10</x:f>
        <x:v>0</x:v>
      </x:c>
      <x:c r="I25" s="99" t="n">
        <x:f>G25-H25</x:f>
        <x:v>0</x:v>
      </x:c>
      <x:c r="J25" s="66" t="n">
        <x:v>0</x:v>
      </x:c>
      <x:c r="K25" s="87"/>
      <x:c r="L25" s="66" t="str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>
      <x:c r="A26" s="66" t="str"/>
      <x:c r="B26" s="87"/>
      <x:c r="C26" s="66" t="str">
        <x:v>Dormant</x:v>
      </x:c>
      <x:c r="D26" s="66" t="str">
        <x:v>ModulAjar Online</x:v>
      </x:c>
      <x:c r="E26" s="66" t="str"/>
      <x:c r="F26" s="66" t="n">
        <x:v>0</x:v>
      </x:c>
      <x:c r="G26" s="99" t="n">
        <x:v>0</x:v>
      </x:c>
      <x:c r="H26" s="99" t="n">
        <x:f>G26*Dashboard!$B$10</x:f>
        <x:v>0</x:v>
      </x:c>
      <x:c r="I26" s="99" t="n">
        <x:f>G26-H26</x:f>
        <x:v>0</x:v>
      </x:c>
      <x:c r="J26" s="66" t="n">
        <x:v>0</x:v>
      </x:c>
      <x:c r="K26" s="87"/>
      <x:c r="L26" s="66" t="str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>
      <x:c r="A27" s="66" t="str"/>
      <x:c r="B27" s="87"/>
      <x:c r="C27" s="66" t="str">
        <x:v>Dormant</x:v>
      </x:c>
      <x:c r="D27" s="66" t="str">
        <x:v>ModulAjar Online</x:v>
      </x:c>
      <x:c r="E27" s="66" t="str"/>
      <x:c r="F27" s="66" t="n">
        <x:v>0</x:v>
      </x:c>
      <x:c r="G27" s="99" t="n">
        <x:v>0</x:v>
      </x:c>
      <x:c r="H27" s="99" t="n">
        <x:f>G27*Dashboard!$B$10</x:f>
        <x:v>0</x:v>
      </x:c>
      <x:c r="I27" s="99" t="n">
        <x:f>G27-H27</x:f>
        <x:v>0</x:v>
      </x:c>
      <x:c r="J27" s="66" t="n">
        <x:v>0</x:v>
      </x:c>
      <x:c r="K27" s="87"/>
      <x:c r="L27" s="66" t="str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>
      <x:c r="A28" s="66" t="str"/>
      <x:c r="B28" s="87"/>
      <x:c r="C28" s="66" t="str">
        <x:v>Dormant</x:v>
      </x:c>
      <x:c r="D28" s="66" t="str">
        <x:v>ModulAjar Online</x:v>
      </x:c>
      <x:c r="E28" s="66" t="str"/>
      <x:c r="F28" s="66" t="n">
        <x:v>0</x:v>
      </x:c>
      <x:c r="G28" s="99" t="n">
        <x:v>0</x:v>
      </x:c>
      <x:c r="H28" s="99" t="n">
        <x:f>G28*Dashboard!$B$10</x:f>
        <x:v>0</x:v>
      </x:c>
      <x:c r="I28" s="99" t="n">
        <x:f>G28-H28</x:f>
        <x:v>0</x:v>
      </x:c>
      <x:c r="J28" s="66" t="n">
        <x:v>0</x:v>
      </x:c>
      <x:c r="K28" s="87"/>
      <x:c r="L28" s="66" t="str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>
      <x:c r="A29" s="66" t="str"/>
      <x:c r="B29" s="87"/>
      <x:c r="C29" s="66" t="str">
        <x:v>Dormant</x:v>
      </x:c>
      <x:c r="D29" s="66" t="str">
        <x:v>ModulAjar Online</x:v>
      </x:c>
      <x:c r="E29" s="66" t="str"/>
      <x:c r="F29" s="66" t="n">
        <x:v>0</x:v>
      </x:c>
      <x:c r="G29" s="99" t="n">
        <x:v>0</x:v>
      </x:c>
      <x:c r="H29" s="99" t="n">
        <x:f>G29*Dashboard!$B$10</x:f>
        <x:v>0</x:v>
      </x:c>
      <x:c r="I29" s="99" t="n">
        <x:f>G29-H29</x:f>
        <x:v>0</x:v>
      </x:c>
      <x:c r="J29" s="66" t="n">
        <x:v>0</x:v>
      </x:c>
      <x:c r="K29" s="87"/>
      <x:c r="L29" s="66" t="str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>
      <x:c r="A30" s="66" t="str"/>
      <x:c r="B30" s="87"/>
      <x:c r="C30" s="66" t="str">
        <x:v>Dormant</x:v>
      </x:c>
      <x:c r="D30" s="66" t="str">
        <x:v>ModulAjar Online</x:v>
      </x:c>
      <x:c r="E30" s="66" t="str"/>
      <x:c r="F30" s="66" t="n">
        <x:v>0</x:v>
      </x:c>
      <x:c r="G30" s="99" t="n">
        <x:v>0</x:v>
      </x:c>
      <x:c r="H30" s="99" t="n">
        <x:f>G30*Dashboard!$B$10</x:f>
        <x:v>0</x:v>
      </x:c>
      <x:c r="I30" s="99" t="n">
        <x:f>G30-H30</x:f>
        <x:v>0</x:v>
      </x:c>
      <x:c r="J30" s="66" t="n">
        <x:v>0</x:v>
      </x:c>
      <x:c r="K30" s="87"/>
      <x:c r="L30" s="66" t="str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>
      <x:c r="A31" s="66" t="str"/>
      <x:c r="B31" s="87"/>
      <x:c r="C31" s="66" t="str">
        <x:v>Dormant</x:v>
      </x:c>
      <x:c r="D31" s="66" t="str">
        <x:v>ModulAjar Online</x:v>
      </x:c>
      <x:c r="E31" s="66" t="str"/>
      <x:c r="F31" s="66" t="n">
        <x:v>0</x:v>
      </x:c>
      <x:c r="G31" s="99" t="n">
        <x:v>0</x:v>
      </x:c>
      <x:c r="H31" s="99" t="n">
        <x:f>G31*Dashboard!$B$10</x:f>
        <x:v>0</x:v>
      </x:c>
      <x:c r="I31" s="99" t="n">
        <x:f>G31-H31</x:f>
        <x:v>0</x:v>
      </x:c>
      <x:c r="J31" s="66" t="n">
        <x:v>0</x:v>
      </x:c>
      <x:c r="K31" s="87"/>
      <x:c r="L31" s="66" t="str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>
      <x:c r="A32" s="66" t="str"/>
      <x:c r="B32" s="87"/>
      <x:c r="C32" s="66" t="str">
        <x:v>Dormant</x:v>
      </x:c>
      <x:c r="D32" s="66" t="str">
        <x:v>ModulAjar Online</x:v>
      </x:c>
      <x:c r="E32" s="66" t="str"/>
      <x:c r="F32" s="66" t="n">
        <x:v>0</x:v>
      </x:c>
      <x:c r="G32" s="99" t="n">
        <x:v>0</x:v>
      </x:c>
      <x:c r="H32" s="99" t="n">
        <x:f>G32*Dashboard!$B$10</x:f>
        <x:v>0</x:v>
      </x:c>
      <x:c r="I32" s="99" t="n">
        <x:f>G32-H32</x:f>
        <x:v>0</x:v>
      </x:c>
      <x:c r="J32" s="66" t="n">
        <x:v>0</x:v>
      </x:c>
      <x:c r="K32" s="87"/>
      <x:c r="L32" s="66" t="str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>
      <x:c r="A33" s="66" t="str"/>
      <x:c r="B33" s="87"/>
      <x:c r="C33" s="66" t="str">
        <x:v>Dormant</x:v>
      </x:c>
      <x:c r="D33" s="66" t="str">
        <x:v>ModulAjar Online</x:v>
      </x:c>
      <x:c r="E33" s="66" t="str"/>
      <x:c r="F33" s="66" t="n">
        <x:v>0</x:v>
      </x:c>
      <x:c r="G33" s="99" t="n">
        <x:v>0</x:v>
      </x:c>
      <x:c r="H33" s="99" t="n">
        <x:f>G33*Dashboard!$B$10</x:f>
        <x:v>0</x:v>
      </x:c>
      <x:c r="I33" s="99" t="n">
        <x:f>G33-H33</x:f>
        <x:v>0</x:v>
      </x:c>
      <x:c r="J33" s="66" t="n">
        <x:v>0</x:v>
      </x:c>
      <x:c r="K33" s="87"/>
      <x:c r="L33" s="66" t="str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>
      <x:c r="A34" s="66" t="str"/>
      <x:c r="B34" s="87"/>
      <x:c r="C34" s="66" t="str">
        <x:v>Dormant</x:v>
      </x:c>
      <x:c r="D34" s="66" t="str">
        <x:v>ModulAjar Online</x:v>
      </x:c>
      <x:c r="E34" s="66" t="str"/>
      <x:c r="F34" s="66" t="n">
        <x:v>0</x:v>
      </x:c>
      <x:c r="G34" s="99" t="n">
        <x:v>0</x:v>
      </x:c>
      <x:c r="H34" s="99" t="n">
        <x:f>G34*Dashboard!$B$10</x:f>
        <x:v>0</x:v>
      </x:c>
      <x:c r="I34" s="99" t="n">
        <x:f>G34-H34</x:f>
        <x:v>0</x:v>
      </x:c>
      <x:c r="J34" s="66" t="n">
        <x:v>0</x:v>
      </x:c>
      <x:c r="K34" s="87"/>
      <x:c r="L34" s="66" t="str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>
      <x:c r="A35" s="66" t="str"/>
      <x:c r="B35" s="87"/>
      <x:c r="C35" s="66" t="str">
        <x:v>Dormant</x:v>
      </x:c>
      <x:c r="D35" s="66" t="str">
        <x:v>ModulAjar Online</x:v>
      </x:c>
      <x:c r="E35" s="66" t="str"/>
      <x:c r="F35" s="66" t="n">
        <x:v>0</x:v>
      </x:c>
      <x:c r="G35" s="99" t="n">
        <x:v>0</x:v>
      </x:c>
      <x:c r="H35" s="99" t="n">
        <x:f>G35*Dashboard!$B$10</x:f>
        <x:v>0</x:v>
      </x:c>
      <x:c r="I35" s="99" t="n">
        <x:f>G35-H35</x:f>
        <x:v>0</x:v>
      </x:c>
      <x:c r="J35" s="66" t="n">
        <x:v>0</x:v>
      </x:c>
      <x:c r="K35" s="87"/>
      <x:c r="L35" s="66" t="str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>
      <x:c r="A36" s="66" t="str"/>
      <x:c r="B36" s="87"/>
      <x:c r="C36" s="66" t="str">
        <x:v>Dormant</x:v>
      </x:c>
      <x:c r="D36" s="66" t="str">
        <x:v>ModulAjar Online</x:v>
      </x:c>
      <x:c r="E36" s="66" t="str"/>
      <x:c r="F36" s="66" t="n">
        <x:v>0</x:v>
      </x:c>
      <x:c r="G36" s="99" t="n">
        <x:v>0</x:v>
      </x:c>
      <x:c r="H36" s="99" t="n">
        <x:f>G36*Dashboard!$B$10</x:f>
        <x:v>0</x:v>
      </x:c>
      <x:c r="I36" s="99" t="n">
        <x:f>G36-H36</x:f>
        <x:v>0</x:v>
      </x:c>
      <x:c r="J36" s="66" t="n">
        <x:v>0</x:v>
      </x:c>
      <x:c r="K36" s="87"/>
      <x:c r="L36" s="66" t="str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>
      <x:c r="A37" s="66" t="str"/>
      <x:c r="B37" s="87"/>
      <x:c r="C37" s="66" t="str">
        <x:v>Dormant</x:v>
      </x:c>
      <x:c r="D37" s="66" t="str">
        <x:v>ModulAjar Online</x:v>
      </x:c>
      <x:c r="E37" s="66" t="str"/>
      <x:c r="F37" s="66" t="n">
        <x:v>0</x:v>
      </x:c>
      <x:c r="G37" s="99" t="n">
        <x:v>0</x:v>
      </x:c>
      <x:c r="H37" s="99" t="n">
        <x:f>G37*Dashboard!$B$10</x:f>
        <x:v>0</x:v>
      </x:c>
      <x:c r="I37" s="99" t="n">
        <x:f>G37-H37</x:f>
        <x:v>0</x:v>
      </x:c>
      <x:c r="J37" s="66" t="n">
        <x:v>0</x:v>
      </x:c>
      <x:c r="K37" s="87"/>
      <x:c r="L37" s="66" t="str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>
      <x:c r="A38" s="66" t="str"/>
      <x:c r="B38" s="87"/>
      <x:c r="C38" s="66" t="str">
        <x:v>Dormant</x:v>
      </x:c>
      <x:c r="D38" s="66" t="str">
        <x:v>ModulAjar Online</x:v>
      </x:c>
      <x:c r="E38" s="66" t="str"/>
      <x:c r="F38" s="66" t="n">
        <x:v>0</x:v>
      </x:c>
      <x:c r="G38" s="99" t="n">
        <x:v>0</x:v>
      </x:c>
      <x:c r="H38" s="99" t="n">
        <x:f>G38*Dashboard!$B$10</x:f>
        <x:v>0</x:v>
      </x:c>
      <x:c r="I38" s="99" t="n">
        <x:f>G38-H38</x:f>
        <x:v>0</x:v>
      </x:c>
      <x:c r="J38" s="66" t="n">
        <x:v>0</x:v>
      </x:c>
      <x:c r="K38" s="87"/>
      <x:c r="L38" s="66" t="str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>
      <x:c r="A39" s="66" t="str"/>
      <x:c r="B39" s="87"/>
      <x:c r="C39" s="66" t="str">
        <x:v>Dormant</x:v>
      </x:c>
      <x:c r="D39" s="66" t="str">
        <x:v>ModulAjar Online</x:v>
      </x:c>
      <x:c r="E39" s="66" t="str"/>
      <x:c r="F39" s="66" t="n">
        <x:v>0</x:v>
      </x:c>
      <x:c r="G39" s="99" t="n">
        <x:v>0</x:v>
      </x:c>
      <x:c r="H39" s="99" t="n">
        <x:f>G39*Dashboard!$B$10</x:f>
        <x:v>0</x:v>
      </x:c>
      <x:c r="I39" s="99" t="n">
        <x:f>G39-H39</x:f>
        <x:v>0</x:v>
      </x:c>
      <x:c r="J39" s="66" t="n">
        <x:v>0</x:v>
      </x:c>
      <x:c r="K39" s="87"/>
      <x:c r="L39" s="66" t="str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>
      <x:c r="A40" s="66" t="str"/>
      <x:c r="B40" s="87"/>
      <x:c r="C40" s="66" t="str">
        <x:v>Dormant</x:v>
      </x:c>
      <x:c r="D40" s="66" t="str">
        <x:v>ModulAjar Online</x:v>
      </x:c>
      <x:c r="E40" s="66" t="str"/>
      <x:c r="F40" s="66" t="n">
        <x:v>0</x:v>
      </x:c>
      <x:c r="G40" s="99" t="n">
        <x:v>0</x:v>
      </x:c>
      <x:c r="H40" s="99" t="n">
        <x:f>G40*Dashboard!$B$10</x:f>
        <x:v>0</x:v>
      </x:c>
      <x:c r="I40" s="99" t="n">
        <x:f>G40-H40</x:f>
        <x:v>0</x:v>
      </x:c>
      <x:c r="J40" s="66" t="n">
        <x:v>0</x:v>
      </x:c>
      <x:c r="K40" s="87"/>
      <x:c r="L40" s="66" t="str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>
      <x:c r="A41" s="66" t="str"/>
      <x:c r="B41" s="87"/>
      <x:c r="C41" s="66" t="str">
        <x:v>Dormant</x:v>
      </x:c>
      <x:c r="D41" s="66" t="str">
        <x:v>ModulAjar Online</x:v>
      </x:c>
      <x:c r="E41" s="66" t="str"/>
      <x:c r="F41" s="66" t="n">
        <x:v>0</x:v>
      </x:c>
      <x:c r="G41" s="99" t="n">
        <x:v>0</x:v>
      </x:c>
      <x:c r="H41" s="99" t="n">
        <x:f>G41*Dashboard!$B$10</x:f>
        <x:v>0</x:v>
      </x:c>
      <x:c r="I41" s="99" t="n">
        <x:f>G41-H41</x:f>
        <x:v>0</x:v>
      </x:c>
      <x:c r="J41" s="66" t="n">
        <x:v>0</x:v>
      </x:c>
      <x:c r="K41" s="87"/>
      <x:c r="L41" s="66" t="str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>
      <x:c r="A42" s="66" t="str"/>
      <x:c r="B42" s="87"/>
      <x:c r="C42" s="66" t="str">
        <x:v>Dormant</x:v>
      </x:c>
      <x:c r="D42" s="66" t="str">
        <x:v>ModulAjar Online</x:v>
      </x:c>
      <x:c r="E42" s="66" t="str"/>
      <x:c r="F42" s="66" t="n">
        <x:v>0</x:v>
      </x:c>
      <x:c r="G42" s="99" t="n">
        <x:v>0</x:v>
      </x:c>
      <x:c r="H42" s="99" t="n">
        <x:f>G42*Dashboard!$B$10</x:f>
        <x:v>0</x:v>
      </x:c>
      <x:c r="I42" s="99" t="n">
        <x:f>G42-H42</x:f>
        <x:v>0</x:v>
      </x:c>
      <x:c r="J42" s="66" t="n">
        <x:v>0</x:v>
      </x:c>
      <x:c r="K42" s="87"/>
      <x:c r="L42" s="66" t="str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>
      <x:c r="A43" s="66" t="str"/>
      <x:c r="B43" s="87"/>
      <x:c r="C43" s="66" t="str">
        <x:v>Dormant</x:v>
      </x:c>
      <x:c r="D43" s="66" t="str">
        <x:v>ModulAjar Online</x:v>
      </x:c>
      <x:c r="E43" s="66" t="str"/>
      <x:c r="F43" s="66" t="n">
        <x:v>0</x:v>
      </x:c>
      <x:c r="G43" s="99" t="n">
        <x:v>0</x:v>
      </x:c>
      <x:c r="H43" s="99" t="n">
        <x:f>G43*Dashboard!$B$10</x:f>
        <x:v>0</x:v>
      </x:c>
      <x:c r="I43" s="99" t="n">
        <x:f>G43-H43</x:f>
        <x:v>0</x:v>
      </x:c>
      <x:c r="J43" s="66" t="n">
        <x:v>0</x:v>
      </x:c>
      <x:c r="K43" s="87"/>
      <x:c r="L43" s="66" t="str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>
      <x:c r="A44" s="66" t="str"/>
      <x:c r="B44" s="87"/>
      <x:c r="C44" s="66" t="str">
        <x:v>Dormant</x:v>
      </x:c>
      <x:c r="D44" s="66" t="str">
        <x:v>ModulAjar Online</x:v>
      </x:c>
      <x:c r="E44" s="66" t="str"/>
      <x:c r="F44" s="66" t="n">
        <x:v>0</x:v>
      </x:c>
      <x:c r="G44" s="99" t="n">
        <x:v>0</x:v>
      </x:c>
      <x:c r="H44" s="99" t="n">
        <x:f>G44*Dashboard!$B$10</x:f>
        <x:v>0</x:v>
      </x:c>
      <x:c r="I44" s="99" t="n">
        <x:f>G44-H44</x:f>
        <x:v>0</x:v>
      </x:c>
      <x:c r="J44" s="66" t="n">
        <x:v>0</x:v>
      </x:c>
      <x:c r="K44" s="87"/>
      <x:c r="L44" s="66" t="str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</x:sheetData>
  <x:mergeCells>
    <x:mergeCell ref="A1:L1"/>
    <x:mergeCell ref="A2:L2"/>
    <x:mergeCell ref="A4:F4"/>
    <x:mergeCell ref="D4:L4"/>
    <x:mergeCell ref="D5:L5"/>
    <x:mergeCell ref="D6:L6"/>
    <x:mergeCell ref="D7:L7"/>
    <x:mergeCell ref="D8:L8"/>
    <x:mergeCell ref="D9:L9"/>
  </x:mergeCells>
  <x:conditionalFormatting sqref="C15:C44">
    <x:cfRule type="expression" dxfId="2" priority="1">
      <x:formula>C15="Active"</x:formula>
    </x:cfRule>
  </x:conditionalFormatting>
  <x:dataValidations count="2">
    <x:dataValidation type="list" sqref="C15:C44">
      <x:formula1>"Active,Dormant,Prospek"</x:formula1>
    </x:dataValidation>
    <x:dataValidation type="list" sqref="D15:D44">
      <x:formula1>"ModulAjar Online,BuatSoal Online Pro,BuatSoal Online Max"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13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2" hidden="0" customWidth="1"/>
    <x:col min="12" max="12" width="14" hidden="0" customWidth="1"/>
    <x:col min="13" max="13" width="14" hidden="0" customWidth="1"/>
    <x:col min="14" max="14" width="16" hidden="0" customWidth="1"/>
    <x:col min="15" max="15" width="14" hidden="0" customWidth="1"/>
    <x:col min="16" max="16" width="14" hidden="0" customWidth="1"/>
    <x:col min="17" max="17" width="12" hidden="0" customWidth="1"/>
    <x:col min="18" max="18" width="16" hidden="0" customWidth="1"/>
    <x:col min="19" max="19" width="14" hidden="0" customWidth="1"/>
    <x:col min="20" max="20" width="30" hidden="0" customWidth="1"/>
  </x:cols>
  <x:sheetData>
    <x:row r="1" ht="32" customHeight="1">
      <x:c r="A1" s="91" t="str">
        <x:v>WEEKLY KPI TRACKER</x:v>
      </x:c>
      <x:c r="B1" s="91"/>
      <x:c r="C1" s="91"/>
      <x:c r="D1" s="91"/>
      <x:c r="E1" s="91"/>
      <x:c r="F1" s="91"/>
      <x:c r="G1" s="91"/>
      <x:c r="H1" s="91"/>
      <x:c r="I1" s="91"/>
      <x:c r="J1" s="91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60"/>
      <x:c r="V1" s="60"/>
      <x:c r="W1" s="60"/>
      <x:c r="X1" s="60"/>
      <x:c r="Y1" s="60"/>
      <x:c r="Z1" s="60"/>
    </x:row>
    <x:row r="2" ht="22" customHeight="1">
      <x:c r="A2" s="93" t="str">
        <x:v>Input mingguan saja dari Post &amp; Cuan. Jangan input ulang transaksi/post harian di workbook ini.</x:v>
      </x:c>
      <x:c r="B2" s="93"/>
      <x:c r="C2" s="93"/>
      <x:c r="D2" s="93"/>
      <x:c r="E2" s="93"/>
      <x:c r="F2" s="93"/>
      <x:c r="G2" s="93"/>
      <x:c r="H2" s="93"/>
      <x:c r="I2" s="93"/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  <x:c r="U2" s="60"/>
      <x:c r="V2" s="60"/>
      <x:c r="W2" s="60"/>
      <x:c r="X2" s="60"/>
      <x:c r="Y2" s="60"/>
      <x:c r="Z2" s="60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  <x:c r="U3" s="60"/>
      <x:c r="V3" s="60"/>
      <x:c r="W3" s="60"/>
      <x:c r="X3" s="60"/>
      <x:c r="Y3" s="60"/>
      <x:c r="Z3" s="60"/>
    </x:row>
    <x:row r="4" ht="30" customHeight="1">
      <x:c r="A4" s="97" t="str">
        <x:v>Week</x:v>
      </x:c>
      <x:c r="B4" s="97" t="str">
        <x:v>Mulai</x:v>
      </x:c>
      <x:c r="C4" s="97" t="str">
        <x:v>Selesai</x:v>
      </x:c>
      <x:c r="D4" s="97" t="str">
        <x:v>Fase</x:v>
      </x:c>
      <x:c r="E4" s="97" t="str">
        <x:v>Net Target</x:v>
      </x:c>
      <x:c r="F4" s="97" t="str">
        <x:v>Gross Target</x:v>
      </x:c>
      <x:c r="G4" s="97" t="str">
        <x:v>Gross Actual</x:v>
      </x:c>
      <x:c r="H4" s="97" t="str">
        <x:v>Affiliate Gross</x:v>
      </x:c>
      <x:c r="I4" s="97" t="str">
        <x:v>Affiliate Commission</x:v>
      </x:c>
      <x:c r="J4" s="97" t="str">
        <x:v>Net Actual</x:v>
      </x:c>
      <x:c r="K4" s="97" t="str">
        <x:v>Transactions</x:v>
      </x:c>
      <x:c r="L4" s="97" t="str">
        <x:v>AOV</x:v>
      </x:c>
      <x:c r="M4" s="97" t="str">
        <x:v>New Customers</x:v>
      </x:c>
      <x:c r="N4" s="97" t="str">
        <x:v>Returning Customers</x:v>
      </x:c>
      <x:c r="O4" s="97" t="str">
        <x:v>New WA Leads</x:v>
      </x:c>
      <x:c r="P4" s="97" t="str">
        <x:v>Active Affiliates</x:v>
      </x:c>
      <x:c r="Q4" s="97" t="str">
        <x:v>Progress</x:v>
      </x:c>
      <x:c r="R4" s="97" t="str">
        <x:v>Gap vs Target</x:v>
      </x:c>
      <x:c r="S4" s="97" t="str">
        <x:v>Status</x:v>
      </x:c>
      <x:c r="T4" s="97" t="str">
        <x:v>Notes</x:v>
      </x:c>
      <x:c r="U4" s="60"/>
      <x:c r="V4" s="60"/>
      <x:c r="W4" s="60"/>
      <x:c r="X4" s="60"/>
      <x:c r="Y4" s="60"/>
      <x:c r="Z4" s="60"/>
    </x:row>
    <x:row r="5">
      <x:c r="A5" s="66" t="n">
        <x:v>1</x:v>
      </x:c>
      <x:c r="B5" s="87" t="n">
        <x:v>46251</x:v>
      </x:c>
      <x:c r="C5" s="87" t="n">
        <x:v>46257</x:v>
      </x:c>
      <x:c r="D5" s="66" t="str">
        <x:v>Fase 1</x:v>
      </x:c>
      <x:c r="E5" s="99" t="n">
        <x:v>2450000</x:v>
      </x:c>
      <x:c r="F5" s="99" t="n">
        <x:f>(E5+(Dashboard!$B$16/Dashboard!$B$6*7))/Dashboard!$B$17</x:f>
        <x:v>2914506.2592592593</x:v>
      </x:c>
      <x:c r="G5" s="99"/>
      <x:c r="H5" s="99"/>
      <x:c r="I5" s="99" t="n">
        <x:f>IF(H5="",0,H5*Dashboard!$B$10)</x:f>
        <x:v>0</x:v>
      </x:c>
      <x:c r="J5" s="99" t="str">
        <x:f>IF(G5="","",G5-I5-(Dashboard!$B$16/Dashboard!$B$6*7))</x:f>
      </x:c>
      <x:c r="K5" s="66"/>
      <x:c r="L5" s="99" t="n">
        <x:f>IF(K5&gt;0,G5/K5,0)</x:f>
        <x:v>0</x:v>
      </x:c>
      <x:c r="M5" s="66"/>
      <x:c r="N5" s="66"/>
      <x:c r="O5" s="66"/>
      <x:c r="P5" s="66"/>
      <x:c r="Q5" s="67" t="str">
        <x:f>IF(J5="","",J5/E5)</x:f>
      </x:c>
      <x:c r="R5" s="99" t="str">
        <x:f>IF(J5="","",J5-E5)</x:f>
      </x:c>
      <x:c r="S5" s="66" t="str">
        <x:f>IF(G5="","Belum diisi",IF(Q5&gt;=1,"On Track",IF(Q5&gt;=0.8,"Watch","Off Track")))</x:f>
        <x:v>Belum diisi</x:v>
      </x:c>
      <x:c r="T5" s="66" t="str"/>
      <x:c r="U5" s="60"/>
      <x:c r="V5" s="60"/>
      <x:c r="W5" s="60"/>
      <x:c r="X5" s="60"/>
      <x:c r="Y5" s="60"/>
      <x:c r="Z5" s="60"/>
    </x:row>
    <x:row r="6">
      <x:c r="A6" s="66" t="n">
        <x:v>2</x:v>
      </x:c>
      <x:c r="B6" s="87" t="n">
        <x:v>46258</x:v>
      </x:c>
      <x:c r="C6" s="87" t="n">
        <x:v>46264</x:v>
      </x:c>
      <x:c r="D6" s="66" t="str">
        <x:v>Fase 1</x:v>
      </x:c>
      <x:c r="E6" s="99" t="n">
        <x:v>2450000</x:v>
      </x:c>
      <x:c r="F6" s="99" t="n">
        <x:f>(E6+(Dashboard!$B$16/Dashboard!$B$6*7))/Dashboard!$B$17</x:f>
        <x:v>2914506.2592592593</x:v>
      </x:c>
      <x:c r="G6" s="99"/>
      <x:c r="H6" s="99"/>
      <x:c r="I6" s="99" t="n">
        <x:f>IF(H6="",0,H6*Dashboard!$B$10)</x:f>
        <x:v>0</x:v>
      </x:c>
      <x:c r="J6" s="99" t="str">
        <x:f>IF(G6="","",G6-I6-(Dashboard!$B$16/Dashboard!$B$6*7))</x:f>
      </x:c>
      <x:c r="K6" s="66"/>
      <x:c r="L6" s="99" t="n">
        <x:f>IF(K6&gt;0,G6/K6,0)</x:f>
        <x:v>0</x:v>
      </x:c>
      <x:c r="M6" s="66"/>
      <x:c r="N6" s="66"/>
      <x:c r="O6" s="66"/>
      <x:c r="P6" s="66"/>
      <x:c r="Q6" s="67" t="str">
        <x:f>IF(J6="","",J6/E6)</x:f>
      </x:c>
      <x:c r="R6" s="99" t="str">
        <x:f>IF(J6="","",J6-E6)</x:f>
      </x:c>
      <x:c r="S6" s="66" t="str">
        <x:f>IF(G6="","Belum diisi",IF(Q6&gt;=1,"On Track",IF(Q6&gt;=0.8,"Watch","Off Track")))</x:f>
        <x:v>Belum diisi</x:v>
      </x:c>
      <x:c r="T6" s="66" t="str"/>
      <x:c r="U6" s="60"/>
      <x:c r="V6" s="60"/>
      <x:c r="W6" s="60"/>
      <x:c r="X6" s="60"/>
      <x:c r="Y6" s="60"/>
      <x:c r="Z6" s="60"/>
    </x:row>
    <x:row r="7">
      <x:c r="A7" s="66" t="n">
        <x:v>3</x:v>
      </x:c>
      <x:c r="B7" s="87" t="n">
        <x:v>46265</x:v>
      </x:c>
      <x:c r="C7" s="87" t="n">
        <x:v>46271</x:v>
      </x:c>
      <x:c r="D7" s="66" t="str">
        <x:v>Fase 1</x:v>
      </x:c>
      <x:c r="E7" s="99" t="n">
        <x:v>2450000</x:v>
      </x:c>
      <x:c r="F7" s="99" t="n">
        <x:f>(E7+(Dashboard!$B$16/Dashboard!$B$6*7))/Dashboard!$B$17</x:f>
        <x:v>2914506.2592592593</x:v>
      </x:c>
      <x:c r="G7" s="99"/>
      <x:c r="H7" s="99"/>
      <x:c r="I7" s="99" t="n">
        <x:f>IF(H7="",0,H7*Dashboard!$B$10)</x:f>
        <x:v>0</x:v>
      </x:c>
      <x:c r="J7" s="99" t="str">
        <x:f>IF(G7="","",G7-I7-(Dashboard!$B$16/Dashboard!$B$6*7))</x:f>
      </x:c>
      <x:c r="K7" s="66"/>
      <x:c r="L7" s="99" t="n">
        <x:f>IF(K7&gt;0,G7/K7,0)</x:f>
        <x:v>0</x:v>
      </x:c>
      <x:c r="M7" s="66"/>
      <x:c r="N7" s="66"/>
      <x:c r="O7" s="66"/>
      <x:c r="P7" s="66"/>
      <x:c r="Q7" s="67" t="str">
        <x:f>IF(J7="","",J7/E7)</x:f>
      </x:c>
      <x:c r="R7" s="99" t="str">
        <x:f>IF(J7="","",J7-E7)</x:f>
      </x:c>
      <x:c r="S7" s="66" t="str">
        <x:f>IF(G7="","Belum diisi",IF(Q7&gt;=1,"On Track",IF(Q7&gt;=0.8,"Watch","Off Track")))</x:f>
        <x:v>Belum diisi</x:v>
      </x:c>
      <x:c r="T7" s="66" t="str"/>
      <x:c r="U7" s="60"/>
      <x:c r="V7" s="60"/>
      <x:c r="W7" s="60"/>
      <x:c r="X7" s="60"/>
      <x:c r="Y7" s="60"/>
      <x:c r="Z7" s="60"/>
    </x:row>
    <x:row r="8">
      <x:c r="A8" s="66" t="n">
        <x:v>4</x:v>
      </x:c>
      <x:c r="B8" s="87" t="n">
        <x:v>46272</x:v>
      </x:c>
      <x:c r="C8" s="87" t="n">
        <x:v>46278</x:v>
      </x:c>
      <x:c r="D8" s="66" t="str">
        <x:v>Fase 1</x:v>
      </x:c>
      <x:c r="E8" s="99" t="n">
        <x:v>2450000</x:v>
      </x:c>
      <x:c r="F8" s="99" t="n">
        <x:f>(E8+(Dashboard!$B$16/Dashboard!$B$6*7))/Dashboard!$B$17</x:f>
        <x:v>2914506.2592592593</x:v>
      </x:c>
      <x:c r="G8" s="99"/>
      <x:c r="H8" s="99"/>
      <x:c r="I8" s="99" t="n">
        <x:f>IF(H8="",0,H8*Dashboard!$B$10)</x:f>
        <x:v>0</x:v>
      </x:c>
      <x:c r="J8" s="99" t="str">
        <x:f>IF(G8="","",G8-I8-(Dashboard!$B$16/Dashboard!$B$6*7))</x:f>
      </x:c>
      <x:c r="K8" s="66"/>
      <x:c r="L8" s="99" t="n">
        <x:f>IF(K8&gt;0,G8/K8,0)</x:f>
        <x:v>0</x:v>
      </x:c>
      <x:c r="M8" s="66"/>
      <x:c r="N8" s="66"/>
      <x:c r="O8" s="66"/>
      <x:c r="P8" s="66"/>
      <x:c r="Q8" s="67" t="str">
        <x:f>IF(J8="","",J8/E8)</x:f>
      </x:c>
      <x:c r="R8" s="99" t="str">
        <x:f>IF(J8="","",J8-E8)</x:f>
      </x:c>
      <x:c r="S8" s="66" t="str">
        <x:f>IF(G8="","Belum diisi",IF(Q8&gt;=1,"On Track",IF(Q8&gt;=0.8,"Watch","Off Track")))</x:f>
        <x:v>Belum diisi</x:v>
      </x:c>
      <x:c r="T8" s="66" t="str"/>
      <x:c r="U8" s="60"/>
      <x:c r="V8" s="60"/>
      <x:c r="W8" s="60"/>
      <x:c r="X8" s="60"/>
      <x:c r="Y8" s="60"/>
      <x:c r="Z8" s="60"/>
    </x:row>
    <x:row r="9">
      <x:c r="A9" s="66" t="n">
        <x:v>5</x:v>
      </x:c>
      <x:c r="B9" s="87" t="n">
        <x:v>46279</x:v>
      </x:c>
      <x:c r="C9" s="87" t="n">
        <x:v>46285</x:v>
      </x:c>
      <x:c r="D9" s="66" t="str">
        <x:v>Fase 2</x:v>
      </x:c>
      <x:c r="E9" s="99" t="n">
        <x:v>2975000</x:v>
      </x:c>
      <x:c r="F9" s="99" t="n">
        <x:f>(E9+(Dashboard!$B$16/Dashboard!$B$6*7))/Dashboard!$B$17</x:f>
        <x:v>3497839.5925925924</x:v>
      </x:c>
      <x:c r="G9" s="99"/>
      <x:c r="H9" s="99"/>
      <x:c r="I9" s="99" t="n">
        <x:f>IF(H9="",0,H9*Dashboard!$B$10)</x:f>
        <x:v>0</x:v>
      </x:c>
      <x:c r="J9" s="99" t="str">
        <x:f>IF(G9="","",G9-I9-(Dashboard!$B$16/Dashboard!$B$6*7))</x:f>
      </x:c>
      <x:c r="K9" s="66"/>
      <x:c r="L9" s="99" t="n">
        <x:f>IF(K9&gt;0,G9/K9,0)</x:f>
        <x:v>0</x:v>
      </x:c>
      <x:c r="M9" s="66"/>
      <x:c r="N9" s="66"/>
      <x:c r="O9" s="66"/>
      <x:c r="P9" s="66"/>
      <x:c r="Q9" s="67" t="str">
        <x:f>IF(J9="","",J9/E9)</x:f>
      </x:c>
      <x:c r="R9" s="99" t="str">
        <x:f>IF(J9="","",J9-E9)</x:f>
      </x:c>
      <x:c r="S9" s="66" t="str">
        <x:f>IF(G9="","Belum diisi",IF(Q9&gt;=1,"On Track",IF(Q9&gt;=0.8,"Watch","Off Track")))</x:f>
        <x:v>Belum diisi</x:v>
      </x:c>
      <x:c r="T9" s="66" t="str"/>
      <x:c r="U9" s="60"/>
      <x:c r="V9" s="60"/>
      <x:c r="W9" s="60"/>
      <x:c r="X9" s="60"/>
      <x:c r="Y9" s="60"/>
      <x:c r="Z9" s="60"/>
    </x:row>
    <x:row r="10">
      <x:c r="A10" s="66" t="n">
        <x:v>6</x:v>
      </x:c>
      <x:c r="B10" s="87" t="n">
        <x:v>46286</x:v>
      </x:c>
      <x:c r="C10" s="87" t="n">
        <x:v>46292</x:v>
      </x:c>
      <x:c r="D10" s="66" t="str">
        <x:v>Fase 2</x:v>
      </x:c>
      <x:c r="E10" s="99" t="n">
        <x:v>2975000</x:v>
      </x:c>
      <x:c r="F10" s="99" t="n">
        <x:f>(E10+(Dashboard!$B$16/Dashboard!$B$6*7))/Dashboard!$B$17</x:f>
        <x:v>3497839.5925925924</x:v>
      </x:c>
      <x:c r="G10" s="99"/>
      <x:c r="H10" s="99"/>
      <x:c r="I10" s="99" t="n">
        <x:f>IF(H10="",0,H10*Dashboard!$B$10)</x:f>
        <x:v>0</x:v>
      </x:c>
      <x:c r="J10" s="99" t="str">
        <x:f>IF(G10="","",G10-I10-(Dashboard!$B$16/Dashboard!$B$6*7))</x:f>
      </x:c>
      <x:c r="K10" s="66"/>
      <x:c r="L10" s="99" t="n">
        <x:f>IF(K10&gt;0,G10/K10,0)</x:f>
        <x:v>0</x:v>
      </x:c>
      <x:c r="M10" s="66"/>
      <x:c r="N10" s="66"/>
      <x:c r="O10" s="66"/>
      <x:c r="P10" s="66"/>
      <x:c r="Q10" s="67" t="str">
        <x:f>IF(J10="","",J10/E10)</x:f>
      </x:c>
      <x:c r="R10" s="99" t="str">
        <x:f>IF(J10="","",J10-E10)</x:f>
      </x:c>
      <x:c r="S10" s="66" t="str">
        <x:f>IF(G10="","Belum diisi",IF(Q10&gt;=1,"On Track",IF(Q10&gt;=0.8,"Watch","Off Track")))</x:f>
        <x:v>Belum diisi</x:v>
      </x:c>
      <x:c r="T10" s="66" t="str"/>
      <x:c r="U10" s="60"/>
      <x:c r="V10" s="60"/>
      <x:c r="W10" s="60"/>
      <x:c r="X10" s="60"/>
      <x:c r="Y10" s="60"/>
      <x:c r="Z10" s="60"/>
    </x:row>
    <x:row r="11">
      <x:c r="A11" s="66" t="n">
        <x:v>7</x:v>
      </x:c>
      <x:c r="B11" s="87" t="n">
        <x:v>46293</x:v>
      </x:c>
      <x:c r="C11" s="87" t="n">
        <x:v>46299</x:v>
      </x:c>
      <x:c r="D11" s="66" t="str">
        <x:v>Fase 2</x:v>
      </x:c>
      <x:c r="E11" s="99" t="n">
        <x:v>2975000</x:v>
      </x:c>
      <x:c r="F11" s="99" t="n">
        <x:f>(E11+(Dashboard!$B$16/Dashboard!$B$6*7))/Dashboard!$B$17</x:f>
        <x:v>3497839.5925925924</x:v>
      </x:c>
      <x:c r="G11" s="99"/>
      <x:c r="H11" s="99"/>
      <x:c r="I11" s="99" t="n">
        <x:f>IF(H11="",0,H11*Dashboard!$B$10)</x:f>
        <x:v>0</x:v>
      </x:c>
      <x:c r="J11" s="99" t="str">
        <x:f>IF(G11="","",G11-I11-(Dashboard!$B$16/Dashboard!$B$6*7))</x:f>
      </x:c>
      <x:c r="K11" s="66"/>
      <x:c r="L11" s="99" t="n">
        <x:f>IF(K11&gt;0,G11/K11,0)</x:f>
        <x:v>0</x:v>
      </x:c>
      <x:c r="M11" s="66"/>
      <x:c r="N11" s="66"/>
      <x:c r="O11" s="66"/>
      <x:c r="P11" s="66"/>
      <x:c r="Q11" s="67" t="str">
        <x:f>IF(J11="","",J11/E11)</x:f>
      </x:c>
      <x:c r="R11" s="99" t="str">
        <x:f>IF(J11="","",J11-E11)</x:f>
      </x:c>
      <x:c r="S11" s="66" t="str">
        <x:f>IF(G11="","Belum diisi",IF(Q11&gt;=1,"On Track",IF(Q11&gt;=0.8,"Watch","Off Track")))</x:f>
        <x:v>Belum diisi</x:v>
      </x:c>
      <x:c r="T11" s="66" t="str"/>
      <x:c r="U11" s="60"/>
      <x:c r="V11" s="60"/>
      <x:c r="W11" s="60"/>
      <x:c r="X11" s="60"/>
      <x:c r="Y11" s="60"/>
      <x:c r="Z11" s="60"/>
    </x:row>
    <x:row r="12">
      <x:c r="A12" s="66" t="n">
        <x:v>8</x:v>
      </x:c>
      <x:c r="B12" s="87" t="n">
        <x:v>46300</x:v>
      </x:c>
      <x:c r="C12" s="87" t="n">
        <x:v>46306</x:v>
      </x:c>
      <x:c r="D12" s="66" t="str">
        <x:v>Fase 2</x:v>
      </x:c>
      <x:c r="E12" s="99" t="n">
        <x:v>2975000</x:v>
      </x:c>
      <x:c r="F12" s="99" t="n">
        <x:f>(E12+(Dashboard!$B$16/Dashboard!$B$6*7))/Dashboard!$B$17</x:f>
        <x:v>3497839.5925925924</x:v>
      </x:c>
      <x:c r="G12" s="99"/>
      <x:c r="H12" s="99"/>
      <x:c r="I12" s="99" t="n">
        <x:f>IF(H12="",0,H12*Dashboard!$B$10)</x:f>
        <x:v>0</x:v>
      </x:c>
      <x:c r="J12" s="99" t="str">
        <x:f>IF(G12="","",G12-I12-(Dashboard!$B$16/Dashboard!$B$6*7))</x:f>
      </x:c>
      <x:c r="K12" s="66"/>
      <x:c r="L12" s="99" t="n">
        <x:f>IF(K12&gt;0,G12/K12,0)</x:f>
        <x:v>0</x:v>
      </x:c>
      <x:c r="M12" s="66"/>
      <x:c r="N12" s="66"/>
      <x:c r="O12" s="66"/>
      <x:c r="P12" s="66"/>
      <x:c r="Q12" s="67" t="str">
        <x:f>IF(J12="","",J12/E12)</x:f>
      </x:c>
      <x:c r="R12" s="99" t="str">
        <x:f>IF(J12="","",J12-E12)</x:f>
      </x:c>
      <x:c r="S12" s="66" t="str">
        <x:f>IF(G12="","Belum diisi",IF(Q12&gt;=1,"On Track",IF(Q12&gt;=0.8,"Watch","Off Track")))</x:f>
        <x:v>Belum diisi</x:v>
      </x:c>
      <x:c r="T12" s="66" t="str"/>
      <x:c r="U12" s="60"/>
      <x:c r="V12" s="60"/>
      <x:c r="W12" s="60"/>
      <x:c r="X12" s="60"/>
      <x:c r="Y12" s="60"/>
      <x:c r="Z12" s="60"/>
    </x:row>
    <x:row r="13">
      <x:c r="A13" s="66" t="n">
        <x:v>9</x:v>
      </x:c>
      <x:c r="B13" s="87" t="n">
        <x:v>46307</x:v>
      </x:c>
      <x:c r="C13" s="87" t="n">
        <x:v>46313</x:v>
      </x:c>
      <x:c r="D13" s="66" t="str">
        <x:v>Fase 3</x:v>
      </x:c>
      <x:c r="E13" s="99" t="n">
        <x:v>3500000</x:v>
      </x:c>
      <x:c r="F13" s="99" t="n">
        <x:f>(E13+(Dashboard!$B$16/Dashboard!$B$6*7))/Dashboard!$B$17</x:f>
        <x:v>4081172.925925926</x:v>
      </x:c>
      <x:c r="G13" s="99"/>
      <x:c r="H13" s="99"/>
      <x:c r="I13" s="99" t="n">
        <x:f>IF(H13="",0,H13*Dashboard!$B$10)</x:f>
        <x:v>0</x:v>
      </x:c>
      <x:c r="J13" s="99" t="str">
        <x:f>IF(G13="","",G13-I13-(Dashboard!$B$16/Dashboard!$B$6*7))</x:f>
      </x:c>
      <x:c r="K13" s="66"/>
      <x:c r="L13" s="99" t="n">
        <x:f>IF(K13&gt;0,G13/K13,0)</x:f>
        <x:v>0</x:v>
      </x:c>
      <x:c r="M13" s="66"/>
      <x:c r="N13" s="66"/>
      <x:c r="O13" s="66"/>
      <x:c r="P13" s="66"/>
      <x:c r="Q13" s="67" t="str">
        <x:f>IF(J13="","",J13/E13)</x:f>
      </x:c>
      <x:c r="R13" s="99" t="str">
        <x:f>IF(J13="","",J13-E13)</x:f>
      </x:c>
      <x:c r="S13" s="66" t="str">
        <x:f>IF(G13="","Belum diisi",IF(Q13&gt;=1,"On Track",IF(Q13&gt;=0.8,"Watch","Off Track")))</x:f>
        <x:v>Belum diisi</x:v>
      </x:c>
      <x:c r="T13" s="66" t="str"/>
      <x:c r="U13" s="60"/>
      <x:c r="V13" s="60"/>
      <x:c r="W13" s="60"/>
      <x:c r="X13" s="60"/>
      <x:c r="Y13" s="60"/>
      <x:c r="Z13" s="60"/>
    </x:row>
    <x:row r="14">
      <x:c r="A14" s="66" t="n">
        <x:v>10</x:v>
      </x:c>
      <x:c r="B14" s="87" t="n">
        <x:v>46314</x:v>
      </x:c>
      <x:c r="C14" s="87" t="n">
        <x:v>46320</x:v>
      </x:c>
      <x:c r="D14" s="66" t="str">
        <x:v>Fase 3</x:v>
      </x:c>
      <x:c r="E14" s="99" t="n">
        <x:v>3500000</x:v>
      </x:c>
      <x:c r="F14" s="99" t="n">
        <x:f>(E14+(Dashboard!$B$16/Dashboard!$B$6*7))/Dashboard!$B$17</x:f>
        <x:v>4081172.925925926</x:v>
      </x:c>
      <x:c r="G14" s="99"/>
      <x:c r="H14" s="99"/>
      <x:c r="I14" s="99" t="n">
        <x:f>IF(H14="",0,H14*Dashboard!$B$10)</x:f>
        <x:v>0</x:v>
      </x:c>
      <x:c r="J14" s="99" t="str">
        <x:f>IF(G14="","",G14-I14-(Dashboard!$B$16/Dashboard!$B$6*7))</x:f>
      </x:c>
      <x:c r="K14" s="66"/>
      <x:c r="L14" s="99" t="n">
        <x:f>IF(K14&gt;0,G14/K14,0)</x:f>
        <x:v>0</x:v>
      </x:c>
      <x:c r="M14" s="66"/>
      <x:c r="N14" s="66"/>
      <x:c r="O14" s="66"/>
      <x:c r="P14" s="66"/>
      <x:c r="Q14" s="67" t="str">
        <x:f>IF(J14="","",J14/E14)</x:f>
      </x:c>
      <x:c r="R14" s="99" t="str">
        <x:f>IF(J14="","",J14-E14)</x:f>
      </x:c>
      <x:c r="S14" s="66" t="str">
        <x:f>IF(G14="","Belum diisi",IF(Q14&gt;=1,"On Track",IF(Q14&gt;=0.8,"Watch","Off Track")))</x:f>
        <x:v>Belum diisi</x:v>
      </x:c>
      <x:c r="T14" s="66" t="str"/>
      <x:c r="U14" s="60"/>
      <x:c r="V14" s="60"/>
      <x:c r="W14" s="60"/>
      <x:c r="X14" s="60"/>
      <x:c r="Y14" s="60"/>
      <x:c r="Z14" s="60"/>
    </x:row>
    <x:row r="15">
      <x:c r="A15" s="66" t="n">
        <x:v>11</x:v>
      </x:c>
      <x:c r="B15" s="87" t="n">
        <x:v>46321</x:v>
      </x:c>
      <x:c r="C15" s="87" t="n">
        <x:v>46327</x:v>
      </x:c>
      <x:c r="D15" s="66" t="str">
        <x:v>Fase 3</x:v>
      </x:c>
      <x:c r="E15" s="99" t="n">
        <x:v>3500000</x:v>
      </x:c>
      <x:c r="F15" s="99" t="n">
        <x:f>(E15+(Dashboard!$B$16/Dashboard!$B$6*7))/Dashboard!$B$17</x:f>
        <x:v>4081172.925925926</x:v>
      </x:c>
      <x:c r="G15" s="99"/>
      <x:c r="H15" s="99"/>
      <x:c r="I15" s="99" t="n">
        <x:f>IF(H15="",0,H15*Dashboard!$B$10)</x:f>
        <x:v>0</x:v>
      </x:c>
      <x:c r="J15" s="99" t="str">
        <x:f>IF(G15="","",G15-I15-(Dashboard!$B$16/Dashboard!$B$6*7))</x:f>
      </x:c>
      <x:c r="K15" s="66"/>
      <x:c r="L15" s="99" t="n">
        <x:f>IF(K15&gt;0,G15/K15,0)</x:f>
        <x:v>0</x:v>
      </x:c>
      <x:c r="M15" s="66"/>
      <x:c r="N15" s="66"/>
      <x:c r="O15" s="66"/>
      <x:c r="P15" s="66"/>
      <x:c r="Q15" s="67" t="str">
        <x:f>IF(J15="","",J15/E15)</x:f>
      </x:c>
      <x:c r="R15" s="99" t="str">
        <x:f>IF(J15="","",J15-E15)</x:f>
      </x:c>
      <x:c r="S15" s="66" t="str">
        <x:f>IF(G15="","Belum diisi",IF(Q15&gt;=1,"On Track",IF(Q15&gt;=0.8,"Watch","Off Track")))</x:f>
        <x:v>Belum diisi</x:v>
      </x:c>
      <x:c r="T15" s="66" t="str"/>
      <x:c r="U15" s="60"/>
      <x:c r="V15" s="60"/>
      <x:c r="W15" s="60"/>
      <x:c r="X15" s="60"/>
      <x:c r="Y15" s="60"/>
      <x:c r="Z15" s="60"/>
    </x:row>
    <x:row r="16">
      <x:c r="A16" s="66" t="n">
        <x:v>12</x:v>
      </x:c>
      <x:c r="B16" s="87" t="n">
        <x:v>46328</x:v>
      </x:c>
      <x:c r="C16" s="87" t="n">
        <x:v>46334</x:v>
      </x:c>
      <x:c r="D16" s="66" t="str">
        <x:v>Fase 3</x:v>
      </x:c>
      <x:c r="E16" s="99" t="n">
        <x:v>3500000</x:v>
      </x:c>
      <x:c r="F16" s="99" t="n">
        <x:f>(E16+(Dashboard!$B$16/Dashboard!$B$6*7))/Dashboard!$B$17</x:f>
        <x:v>4081172.925925926</x:v>
      </x:c>
      <x:c r="G16" s="99"/>
      <x:c r="H16" s="99"/>
      <x:c r="I16" s="99" t="n">
        <x:f>IF(H16="",0,H16*Dashboard!$B$10)</x:f>
        <x:v>0</x:v>
      </x:c>
      <x:c r="J16" s="99" t="str">
        <x:f>IF(G16="","",G16-I16-(Dashboard!$B$16/Dashboard!$B$6*7))</x:f>
      </x:c>
      <x:c r="K16" s="66"/>
      <x:c r="L16" s="99" t="n">
        <x:f>IF(K16&gt;0,G16/K16,0)</x:f>
        <x:v>0</x:v>
      </x:c>
      <x:c r="M16" s="66"/>
      <x:c r="N16" s="66"/>
      <x:c r="O16" s="66"/>
      <x:c r="P16" s="66"/>
      <x:c r="Q16" s="67" t="str">
        <x:f>IF(J16="","",J16/E16)</x:f>
      </x:c>
      <x:c r="R16" s="99" t="str">
        <x:f>IF(J16="","",J16-E16)</x:f>
      </x:c>
      <x:c r="S16" s="66" t="str">
        <x:f>IF(G16="","Belum diisi",IF(Q16&gt;=1,"On Track",IF(Q16&gt;=0.8,"Watch","Off Track")))</x:f>
        <x:v>Belum diisi</x:v>
      </x:c>
      <x:c r="T16" s="66" t="str"/>
      <x:c r="U16" s="60"/>
      <x:c r="V16" s="60"/>
      <x:c r="W16" s="60"/>
      <x:c r="X16" s="60"/>
      <x:c r="Y16" s="60"/>
      <x:c r="Z16" s="60"/>
    </x:row>
    <x:row r="17">
      <x:c r="A17" s="66" t="n">
        <x:v>13</x:v>
      </x:c>
      <x:c r="B17" s="87" t="n">
        <x:v>46335</x:v>
      </x:c>
      <x:c r="C17" s="87" t="n">
        <x:v>46341</x:v>
      </x:c>
      <x:c r="D17" s="66" t="str">
        <x:v>Fase 3</x:v>
      </x:c>
      <x:c r="E17" s="99" t="n">
        <x:v>3500000</x:v>
      </x:c>
      <x:c r="F17" s="99" t="n">
        <x:f>(E17+(Dashboard!$B$16/Dashboard!$B$6*7))/Dashboard!$B$17</x:f>
        <x:v>4081172.925925926</x:v>
      </x:c>
      <x:c r="G17" s="99"/>
      <x:c r="H17" s="99"/>
      <x:c r="I17" s="99" t="n">
        <x:f>IF(H17="",0,H17*Dashboard!$B$10)</x:f>
        <x:v>0</x:v>
      </x:c>
      <x:c r="J17" s="99" t="str">
        <x:f>IF(G17="","",G17-I17-(Dashboard!$B$16/Dashboard!$B$6*7))</x:f>
      </x:c>
      <x:c r="K17" s="66"/>
      <x:c r="L17" s="99" t="n">
        <x:f>IF(K17&gt;0,G17/K17,0)</x:f>
        <x:v>0</x:v>
      </x:c>
      <x:c r="M17" s="66"/>
      <x:c r="N17" s="66"/>
      <x:c r="O17" s="66"/>
      <x:c r="P17" s="66"/>
      <x:c r="Q17" s="67" t="str">
        <x:f>IF(J17="","",J17/E17)</x:f>
      </x:c>
      <x:c r="R17" s="99" t="str">
        <x:f>IF(J17="","",J17-E17)</x:f>
      </x:c>
      <x:c r="S17" s="66" t="str">
        <x:f>IF(G17="","Belum diisi",IF(Q17&gt;=1,"On Track",IF(Q17&gt;=0.8,"Watch","Off Track")))</x:f>
        <x:v>Belum diisi</x:v>
      </x:c>
      <x:c r="T17" s="66" t="str"/>
      <x:c r="U17" s="60"/>
      <x:c r="V17" s="60"/>
      <x:c r="W17" s="60"/>
      <x:c r="X17" s="60"/>
      <x:c r="Y17" s="60"/>
      <x:c r="Z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</x:sheetData>
  <x:mergeCells>
    <x:mergeCell ref="A1:T1"/>
    <x:mergeCell ref="A2:T2"/>
  </x:mergeCells>
  <x:conditionalFormatting sqref="Q5:Q17">
    <x:cfRule type="dataBar" priority="1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{EBA09DB5-8D51-5369-739B-E5CAEC67B3F6}</x14:id>
        </x:ext>
      </x:extLst>
    </x:cfRule>
  </x:conditionalFormatting>
  <x:conditionalFormatting sqref="R5:R17">
    <x:cfRule type="cellIs" dxfId="3" priority="2" operator="lessThan">
      <x:formula>0</x:formula>
    </x:cfRule>
  </x:conditionalFormatting>
  <x:conditionalFormatting sqref="S5:S17">
    <x:cfRule type="expression" dxfId="4" priority="3">
      <x:formula>S5="On Track"</x:formula>
    </x:cfRule>
    <x:cfRule type="expression" dxfId="5" priority="4">
      <x:formula>S5="Watch"</x:formula>
    </x:cfRule>
    <x:cfRule type="expression" dxfId="6" priority="5">
      <x:formula>S5="Off Track"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BA09DB5-8D51-5369-739B-E5CAEC67B3F6}">
            <x14:dataBar gradient="1">
              <x14:cfvo type="min"/>
              <x14:cfvo type="max"/>
              <x14:fillColor rgb="FF14B8A6"/>
            </x14:dataBar>
          </x14:cfRule>
          <xm:sqref>Q5:Q17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46" hidden="0" customWidth="1"/>
    <x:col min="4" max="4" width="40" hidden="0" customWidth="1"/>
    <x:col min="5" max="5" width="24" hidden="0" customWidth="1"/>
    <x:col min="6" max="6" width="14" hidden="0" customWidth="1"/>
    <x:col min="7" max="7" width="10" hidden="0" customWidth="1"/>
    <x:col min="8" max="8" width="26" hidden="0" customWidth="1"/>
  </x:cols>
  <x:sheetData>
    <x:row r="1" ht="32" customHeight="1">
      <x:c r="A1" s="91" t="str">
        <x:v>POST &amp; CUAN — INTEGRATION SPEC</x:v>
      </x:c>
      <x:c r="B1" s="91"/>
      <x:c r="C1" s="91"/>
      <x:c r="D1" s="91"/>
      <x:c r="E1" s="91"/>
      <x:c r="F1" s="91"/>
      <x:c r="G1" s="91"/>
      <x:c r="H1" s="91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</x:row>
    <x:row r="2" ht="22" customHeight="1">
      <x:c r="A2" s="93" t="str">
        <x:v>Tidak mengganti tool Anda. Ini hanya daftar field/KPI yang perlu ditambahkan agar roadmap revenue bisa diukur.</x:v>
      </x:c>
      <x:c r="B2" s="93"/>
      <x:c r="C2" s="93"/>
      <x:c r="D2" s="93"/>
      <x:c r="E2" s="93"/>
      <x:c r="F2" s="93"/>
      <x:c r="G2" s="93"/>
      <x:c r="H2" s="93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  <x:c r="U3" s="60"/>
      <x:c r="V3" s="60"/>
      <x:c r="W3" s="60"/>
      <x:c r="X3" s="60"/>
      <x:c r="Y3" s="60"/>
      <x:c r="Z3" s="60"/>
    </x:row>
    <x:row r="4" ht="22" customHeight="1">
      <x:c r="A4" s="95" t="str">
        <x:v>FIELD TRANSAKSI YANG PERLU ADA</x:v>
      </x:c>
      <x:c r="B4" s="95"/>
      <x:c r="C4" s="95"/>
      <x:c r="D4" s="95"/>
      <x:c r="E4" s="95"/>
      <x:c r="F4" s="95"/>
      <x:c r="G4" s="95"/>
      <x:c r="H4" s="95"/>
      <x:c r="I4" s="60"/>
      <x:c r="J4" s="60"/>
      <x:c r="K4" s="60"/>
      <x:c r="L4" s="60"/>
      <x:c r="M4" s="60"/>
      <x:c r="N4" s="60"/>
      <x:c r="O4" s="60"/>
      <x:c r="P4" s="60"/>
      <x:c r="Q4" s="60"/>
      <x:c r="R4" s="60"/>
      <x:c r="S4" s="60"/>
      <x:c r="T4" s="60"/>
      <x:c r="U4" s="60"/>
      <x:c r="V4" s="60"/>
      <x:c r="W4" s="60"/>
      <x:c r="X4" s="60"/>
      <x:c r="Y4" s="60"/>
      <x:c r="Z4" s="60"/>
    </x:row>
    <x:row r="5" ht="30" customHeight="1">
      <x:c r="A5" s="97" t="str">
        <x:v>Field</x:v>
      </x:c>
      <x:c r="B5" s="97" t="str">
        <x:v>Wajib?</x:v>
      </x:c>
      <x:c r="C5" s="97" t="str">
        <x:v>Contoh</x:v>
      </x:c>
      <x:c r="D5" s="97" t="str">
        <x:v>Kenapa Penting</x:v>
      </x:c>
      <x:c r="E5" s="97" t="str">
        <x:v>Dipakai untuk KPI</x:v>
      </x:c>
      <x:c r="F5" s="97" t="str">
        <x:v>Sudah Ada?</x:v>
      </x:c>
      <x:c r="G5" s="97" t="str">
        <x:v>Prioritas</x:v>
      </x:c>
      <x:c r="H5" s="97" t="str">
        <x:v>Catatan</x:v>
      </x:c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0"/>
      <x:c r="Z5" s="60"/>
    </x:row>
    <x:row r="6">
      <x:c r="A6" s="66" t="str">
        <x:v>Tanggal</x:v>
      </x:c>
      <x:c r="B6" s="66" t="str">
        <x:v>Ya</x:v>
      </x:c>
      <x:c r="C6" s="66" t="str">
        <x:v>2026-08-18</x:v>
      </x:c>
      <x:c r="D6" s="66" t="str">
        <x:v>Rolling 30D / weekly roll-up</x:v>
      </x:c>
      <x:c r="E6" s="66" t="str">
        <x:v>Revenue trend</x:v>
      </x:c>
      <x:c r="F6" s="66" t="str"/>
      <x:c r="G6" s="89" t="n">
        <x:v>1</x:v>
      </x:c>
      <x:c r="H6" s="66" t="str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0"/>
      <x:c r="Z6" s="60"/>
    </x:row>
    <x:row r="7">
      <x:c r="A7" s="66" t="str">
        <x:v>Produk</x:v>
      </x:c>
      <x:c r="B7" s="66" t="str">
        <x:v>Ya</x:v>
      </x:c>
      <x:c r="C7" s="66" t="str">
        <x:v>ModulAjar Online</x:v>
      </x:c>
      <x:c r="D7" s="66" t="str">
        <x:v>Tahu hero product mana yang menghasilkan</x:v>
      </x:c>
      <x:c r="E7" s="66" t="str">
        <x:v>Revenue by product</x:v>
      </x:c>
      <x:c r="F7" s="66" t="str"/>
      <x:c r="G7" s="89" t="n">
        <x:v>1</x:v>
      </x:c>
      <x:c r="H7" s="66" t="str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>
      <x:c r="A8" s="66" t="str">
        <x:v>Plan</x:v>
      </x:c>
      <x:c r="B8" s="66" t="str">
        <x:v>Jika relevan</x:v>
      </x:c>
      <x:c r="C8" s="66" t="str">
        <x:v>Pro / Max</x:v>
      </x:c>
      <x:c r="D8" s="66" t="str">
        <x:v>Pisahkan BuatSoal Pro vs Max</x:v>
      </x:c>
      <x:c r="E8" s="66" t="str">
        <x:v>AOV + upgrade</x:v>
      </x:c>
      <x:c r="F8" s="66" t="str"/>
      <x:c r="G8" s="89" t="n">
        <x:v>1</x:v>
      </x:c>
      <x:c r="H8" s="66" t="str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>
      <x:c r="A9" s="66" t="str">
        <x:v>Customer Type</x:v>
      </x:c>
      <x:c r="B9" s="66" t="str">
        <x:v>Ya</x:v>
      </x:c>
      <x:c r="C9" s="66" t="str">
        <x:v>New / Returning</x:v>
      </x:c>
      <x:c r="D9" s="66" t="str">
        <x:v>Ukur akuisisi vs repeat</x:v>
      </x:c>
      <x:c r="E9" s="66" t="str">
        <x:v>New customer rate</x:v>
      </x:c>
      <x:c r="F9" s="66" t="str"/>
      <x:c r="G9" s="89" t="n">
        <x:v>1</x:v>
      </x:c>
      <x:c r="H9" s="66" t="str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>
      <x:c r="A10" s="66" t="str">
        <x:v>Acquisition Channel</x:v>
      </x:c>
      <x:c r="B10" s="66" t="str">
        <x:v>Ya</x:v>
      </x:c>
      <x:c r="C10" s="66" t="str">
        <x:v>WA / TikTok / Threads / YT / Affiliate</x:v>
      </x:c>
      <x:c r="D10" s="66" t="str">
        <x:v>Tahu sumber customer pertama</x:v>
      </x:c>
      <x:c r="E10" s="66" t="str">
        <x:v>Channel ROI</x:v>
      </x:c>
      <x:c r="F10" s="66" t="str"/>
      <x:c r="G10" s="89" t="n">
        <x:v>1</x:v>
      </x:c>
      <x:c r="H10" s="66" t="str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>
      <x:c r="A11" s="66" t="str">
        <x:v>Campaign</x:v>
      </x:c>
      <x:c r="B11" s="66" t="str">
        <x:v>Ya</x:v>
      </x:c>
      <x:c r="C11" s="66" t="str">
        <x:v>Cross-sell #1 / Normal / Merdeka</x:v>
      </x:c>
      <x:c r="D11" s="66" t="str">
        <x:v>Bandingkan campaign</x:v>
      </x:c>
      <x:c r="E11" s="66" t="str">
        <x:v>Campaign ROI</x:v>
      </x:c>
      <x:c r="F11" s="66" t="str"/>
      <x:c r="G11" s="89" t="n">
        <x:v>2</x:v>
      </x:c>
      <x:c r="H11" s="66" t="str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>
      <x:c r="A12" s="66" t="str">
        <x:v>Sale Route</x:v>
      </x:c>
      <x:c r="B12" s="66" t="str">
        <x:v>Ya</x:v>
      </x:c>
      <x:c r="C12" s="66" t="str">
        <x:v>Direct / Affiliate</x:v>
      </x:c>
      <x:c r="D12" s="66" t="str">
        <x:v>Hitung margin bersih</x:v>
      </x:c>
      <x:c r="E12" s="66" t="str">
        <x:v>Net revenue</x:v>
      </x:c>
      <x:c r="F12" s="66" t="str"/>
      <x:c r="G12" s="89" t="n">
        <x:v>1</x:v>
      </x:c>
      <x:c r="H12" s="66" t="str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>
      <x:c r="A13" s="66" t="str">
        <x:v>Gross Revenue</x:v>
      </x:c>
      <x:c r="B13" s="66" t="str">
        <x:v>Ya</x:v>
      </x:c>
      <x:c r="C13" s="66" t="str">
        <x:v>149000</x:v>
      </x:c>
      <x:c r="D13" s="66" t="str">
        <x:v>Nilai transaksi sebelum komisi</x:v>
      </x:c>
      <x:c r="E13" s="66" t="str">
        <x:v>Gross revenue</x:v>
      </x:c>
      <x:c r="F13" s="66" t="str"/>
      <x:c r="G13" s="89" t="n">
        <x:v>1</x:v>
      </x:c>
      <x:c r="H13" s="66" t="str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>
      <x:c r="A14" s="66" t="str">
        <x:v>Affiliate Commission</x:v>
      </x:c>
      <x:c r="B14" s="66" t="str">
        <x:v>Formula</x:v>
      </x:c>
      <x:c r="C14" s="66" t="str">
        <x:v>59600</x:v>
      </x:c>
      <x:c r="D14" s="66" t="str">
        <x:v>40% jika affiliate</x:v>
      </x:c>
      <x:c r="E14" s="66" t="str">
        <x:v>Net revenue</x:v>
      </x:c>
      <x:c r="F14" s="66" t="str"/>
      <x:c r="G14" s="89" t="n">
        <x:v>1</x:v>
      </x:c>
      <x:c r="H14" s="66" t="str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>
      <x:c r="A15" s="66" t="str">
        <x:v>Net Revenue</x:v>
      </x:c>
      <x:c r="B15" s="66" t="str">
        <x:v>Formula</x:v>
      </x:c>
      <x:c r="C15" s="66" t="str">
        <x:v>89400</x:v>
      </x:c>
      <x:c r="D15" s="66" t="str">
        <x:v>Target Pak Husnul = bersih</x:v>
      </x:c>
      <x:c r="E15" s="66" t="str">
        <x:v>North Star</x:v>
      </x:c>
      <x:c r="F15" s="66" t="str"/>
      <x:c r="G15" s="89" t="n">
        <x:v>1</x:v>
      </x:c>
      <x:c r="H15" s="66" t="str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 ht="22" customHeight="1">
      <x:c r="A18" s="95" t="str">
        <x:v>WIDGET DASHBOARD POST &amp; CUAN YANG DIREKOMENDASIKAN</x:v>
      </x:c>
      <x:c r="B18" s="95"/>
      <x:c r="C18" s="95"/>
      <x:c r="D18" s="95"/>
      <x:c r="E18" s="95"/>
      <x:c r="F18" s="95"/>
      <x:c r="G18" s="95"/>
      <x:c r="H18" s="95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 ht="30" customHeight="1">
      <x:c r="A19" s="97" t="str">
        <x:v>Widget</x:v>
      </x:c>
      <x:c r="B19" s="97" t="str">
        <x:v>Contoh</x:v>
      </x:c>
      <x:c r="C19" s="97" t="str">
        <x:v>Tujuan</x:v>
      </x:c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>
      <x:c r="A20" s="66" t="str">
        <x:v>Net Revenue — Rolling 30 Days</x:v>
      </x:c>
      <x:c r="B20" s="66" t="str">
        <x:v>Rp ... / Rp15.000.000</x:v>
      </x:c>
      <x:c r="C20" s="66" t="str">
        <x:v>North Star utama</x:v>
      </x:c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>
      <x:c r="A21" s="66" t="str">
        <x:v>Progress ke 500K/day</x:v>
      </x:c>
      <x:c r="B21" s="66" t="str">
        <x:v>xx%</x:v>
      </x:c>
      <x:c r="C21" s="66" t="str">
        <x:v>Lebih penting daripada total historis</x:v>
      </x:c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>
      <x:c r="A22" s="66" t="str">
        <x:v>Gross Revenue — minggu ini</x:v>
      </x:c>
      <x:c r="B22" s="66" t="str">
        <x:v>Rp ... / target gross mingguan</x:v>
      </x:c>
      <x:c r="C22" s="66" t="str">
        <x:v>Menangkap spike sales tanpa obsesif harian</x:v>
      </x:c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>
      <x:c r="A23" s="66" t="str">
        <x:v>Gap to Goal</x:v>
      </x:c>
      <x:c r="B23" s="66" t="str">
        <x:v>+Rp ... / hari</x:v>
      </x:c>
      <x:c r="C23" s="66" t="str">
        <x:v>Berapa tambahan run-rate yang diperlukan</x:v>
      </x:c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>
      <x:c r="A24" s="66" t="str">
        <x:v>Revenue by Product</x:v>
      </x:c>
      <x:c r="B24" s="66" t="str">
        <x:v>MA / BS Pro / BS Max / Other</x:v>
      </x:c>
      <x:c r="C24" s="66" t="str">
        <x:v>Validasi hero product</x:v>
      </x:c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>
      <x:c r="A25" s="66" t="str">
        <x:v>New vs Returning</x:v>
      </x:c>
      <x:c r="B25" s="66" t="str">
        <x:v>% new / % returning</x:v>
      </x:c>
      <x:c r="C25" s="66" t="str">
        <x:v>Cegah ekosistem hanya menjual ke orang yang sama</x:v>
      </x:c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>
      <x:c r="A26" s="66" t="str">
        <x:v>Direct vs Affiliate</x:v>
      </x:c>
      <x:c r="B26" s="66" t="str">
        <x:v>Gross + net</x:v>
      </x:c>
      <x:c r="C26" s="66" t="str">
        <x:v>Affiliate adalah channel, bukan kategori revenue</x:v>
      </x:c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>
      <x:c r="A27" s="66" t="str">
        <x:v>Active Affiliates</x:v>
      </x:c>
      <x:c r="B27" s="66" t="str">
        <x:v>jumlah</x:v>
      </x:c>
      <x:c r="C27" s="66" t="str">
        <x:v>Ukur affiliate yang benar-benar menghasilkan sale</x:v>
      </x:c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</x:sheetData>
  <x:mergeCells>
    <x:mergeCell ref="A1:H1"/>
    <x:mergeCell ref="A2:H2"/>
    <x:mergeCell ref="A4:H4"/>
    <x:mergeCell ref="A18:H1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6" hidden="0" customWidth="1"/>
    <x:col min="3" max="3" width="22" hidden="0" customWidth="1"/>
    <x:col min="4" max="4" width="38" hidden="0" customWidth="1"/>
    <x:col min="5" max="5" width="42" hidden="0" customWidth="1"/>
    <x:col min="6" max="6" width="12" hidden="0" customWidth="1"/>
  </x:cols>
  <x:sheetData>
    <x:row r="1" ht="32" customHeight="1">
      <x:c r="A1" s="91" t="str">
        <x:v>ALIGNMENT DENGAN YOUTUBE GROWTH PLAN</x:v>
      </x:c>
      <x:c r="B1" s="91"/>
      <x:c r="C1" s="91"/>
      <x:c r="D1" s="91"/>
      <x:c r="E1" s="91"/>
      <x:c r="F1" s="91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</x:row>
    <x:row r="2" ht="22" customHeight="1">
      <x:c r="A2" s="93" t="str">
        <x:v>Sumber acuan: file terlampir “YouTube Growth Plan — Pak Husnul — 90 Hari”. Workbook revenue tidak menggandakan kalender YouTube.</x:v>
      </x:c>
      <x:c r="B2" s="93"/>
      <x:c r="C2" s="93"/>
      <x:c r="D2" s="93"/>
      <x:c r="E2" s="93"/>
      <x:c r="F2" s="93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  <x:c r="U3" s="60"/>
      <x:c r="V3" s="60"/>
      <x:c r="W3" s="60"/>
      <x:c r="X3" s="60"/>
      <x:c r="Y3" s="60"/>
      <x:c r="Z3" s="60"/>
    </x:row>
    <x:row r="4" ht="30" customHeight="1">
      <x:c r="A4" s="97" t="str">
        <x:v>Workstream</x:v>
      </x:c>
      <x:c r="B4" s="97" t="str">
        <x:v>Owner / Source of Truth</x:v>
      </x:c>
      <x:c r="C4" s="97" t="str">
        <x:v>Cadence dari YT Plan</x:v>
      </x:c>
      <x:c r="D4" s="97" t="str">
        <x:v>Dipakai Revenue Plan untuk</x:v>
      </x:c>
      <x:c r="E4" s="97" t="str">
        <x:v>Jangan Dilakukan</x:v>
      </x:c>
      <x:c r="F4" s="97" t="str">
        <x:v>Status</x:v>
      </x:c>
      <x:c r="G4" s="60"/>
      <x:c r="H4" s="60"/>
      <x:c r="I4" s="60"/>
      <x:c r="J4" s="60"/>
      <x:c r="K4" s="60"/>
      <x:c r="L4" s="60"/>
      <x:c r="M4" s="60"/>
      <x:c r="N4" s="60"/>
      <x:c r="O4" s="60"/>
      <x:c r="P4" s="60"/>
      <x:c r="Q4" s="60"/>
      <x:c r="R4" s="60"/>
      <x:c r="S4" s="60"/>
      <x:c r="T4" s="60"/>
      <x:c r="U4" s="60"/>
      <x:c r="V4" s="60"/>
      <x:c r="W4" s="60"/>
      <x:c r="X4" s="60"/>
      <x:c r="Y4" s="60"/>
      <x:c r="Z4" s="60"/>
    </x:row>
    <x:row r="5" ht="46" customHeight="1">
      <x:c r="A5" s="66" t="str">
        <x:v>YouTube Long-form</x:v>
      </x:c>
      <x:c r="B5" s="66" t="str">
        <x:v>YouTube Growth Plan</x:v>
      </x:c>
      <x:c r="C5" s="66" t="str">
        <x:v>Selasa + Jumat</x:v>
      </x:c>
      <x:c r="D5" s="66" t="str">
        <x:v>Authority, search discovery, source asset, product bridge</x:v>
      </x:c>
      <x:c r="E5" s="66" t="str">
        <x:v>Jangan tambah video long-form hanya karena campaign revenue.</x:v>
      </x:c>
      <x:c r="F5" s="66" t="str">
        <x:v>LOCKED</x:v>
      </x:c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0"/>
      <x:c r="Z5" s="60"/>
    </x:row>
    <x:row r="6" ht="46" customHeight="1">
      <x:c r="A6" s="66" t="str">
        <x:v>YouTube Live</x:v>
      </x:c>
      <x:c r="B6" s="66" t="str">
        <x:v>YouTube Growth Plan</x:v>
      </x:c>
      <x:c r="C6" s="66" t="str">
        <x:v>Minggu</x:v>
      </x:c>
      <x:c r="D6" s="66" t="str">
        <x:v>Demo, trust, Q&amp;A, source clip untuk minggu berikutnya</x:v>
      </x:c>
      <x:c r="E6" s="66" t="str">
        <x:v>Jangan buat Live jualan tambahan di revenue roadmap.</x:v>
      </x:c>
      <x:c r="F6" s="66" t="str">
        <x:v>LOCKED</x:v>
      </x:c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0"/>
      <x:c r="Z6" s="60"/>
    </x:row>
    <x:row r="7" ht="46" customHeight="1">
      <x:c r="A7" s="66" t="str">
        <x:v>YouTube Shorts</x:v>
      </x:c>
      <x:c r="B7" s="66" t="str">
        <x:v>YouTube Growth Plan</x:v>
      </x:c>
      <x:c r="C7" s="66" t="str">
        <x:v>Rabu + Sabtu</x:v>
      </x:c>
      <x:c r="D7" s="66" t="str">
        <x:v>Clip yang sama dapat dipakai juga untuk TikTok</x:v>
      </x:c>
      <x:c r="E7" s="66" t="str">
        <x:v>Jangan edit dua versi terpisah jika satu asset cukup.</x:v>
      </x:c>
      <x:c r="F7" s="66" t="str">
        <x:v>LOCKED</x:v>
      </x:c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 ht="46" customHeight="1">
      <x:c r="A8" s="66" t="str">
        <x:v>TikTok</x:v>
      </x:c>
      <x:c r="B8" s="66" t="str">
        <x:v>Revenue Roadmap</x:v>
      </x:c>
      <x:c r="C8" s="66" t="str">
        <x:v>2–3 repurpose / minggu</x:v>
      </x:c>
      <x:c r="D8" s="66" t="str">
        <x:v>Search-intent acquisition → lead magnet / WA</x:v>
      </x:c>
      <x:c r="E8" s="66" t="str">
        <x:v>Jangan membuat kalender topik yang bersaing dengan tema YouTube minggu itu.</x:v>
      </x:c>
      <x:c r="F8" s="66" t="str">
        <x:v>ACTIVE</x:v>
      </x:c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 ht="46" customHeight="1">
      <x:c r="A9" s="66" t="str">
        <x:v>Threads</x:v>
      </x:c>
      <x:c r="B9" s="66" t="str">
        <x:v>Revenue Roadmap</x:v>
      </x:c>
      <x:c r="C9" s="66" t="str">
        <x:v>3–5 post ringan / minggu</x:v>
      </x:c>
      <x:c r="D9" s="66" t="str">
        <x:v>Text repurpose, insight, lead magnet</x:v>
      </x:c>
      <x:c r="E9" s="66" t="str">
        <x:v>Jangan memaksa konten baru jika bisa turunkan dari YT/TikTok.</x:v>
      </x:c>
      <x:c r="F9" s="66" t="str">
        <x:v>ACTIVE</x:v>
      </x:c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 ht="46" customHeight="1">
      <x:c r="A10" s="66" t="str">
        <x:v>WA Guru Mahir AI</x:v>
      </x:c>
      <x:c r="B10" s="66" t="str">
        <x:v>Revenue Roadmap</x:v>
      </x:c>
      <x:c r="C10" s="66" t="str">
        <x:v>Nurture + campaign</x:v>
      </x:c>
      <x:c r="D10" s="66" t="str">
        <x:v>Education, demo, proof, segmented offer</x:v>
      </x:c>
      <x:c r="E10" s="66" t="str">
        <x:v>Jangan jadikan grup katalog promo harian.</x:v>
      </x:c>
      <x:c r="F10" s="66" t="str">
        <x:v>ACTIVE</x:v>
      </x:c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 ht="46" customHeight="1">
      <x:c r="A11" s="66" t="str">
        <x:v>Affiliate Group</x:v>
      </x:c>
      <x:c r="B11" s="66" t="str">
        <x:v>Revenue Roadmap</x:v>
      </x:c>
      <x:c r="C11" s="66" t="str">
        <x:v>1 brief utama / minggu</x:v>
      </x:c>
      <x:c r="D11" s="66" t="str">
        <x:v>Hero product campaign + kit + objection handling</x:v>
      </x:c>
      <x:c r="E11" s="66" t="str">
        <x:v>Jangan beri 10 produk untuk dijual bersamaan.</x:v>
      </x:c>
      <x:c r="F11" s="66" t="str">
        <x:v>ACTIVE</x:v>
      </x:c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 ht="46" customHeight="1">
      <x:c r="A12" s="66" t="str">
        <x:v>Post &amp; Cuan</x:v>
      </x:c>
      <x:c r="B12" s="66" t="str">
        <x:v>Source of truth harian</x:v>
      </x:c>
      <x:c r="C12" s="66" t="str">
        <x:v>Harian / saat transaksi</x:v>
      </x:c>
      <x:c r="D12" s="66" t="str">
        <x:v>Data → weekly KPI workbook ini</x:v>
      </x:c>
      <x:c r="E12" s="66" t="str">
        <x:v>Jangan input transaksi harian ulang di workbook roadmap.</x:v>
      </x:c>
      <x:c r="F12" s="66" t="str">
        <x:v>ACTIVE</x:v>
      </x:c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>
      <x:c r="A14" s="60"/>
      <x:c r="B14" s="60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 ht="22" customHeight="1">
      <x:c r="A15" s="95" t="str">
        <x:v>SHARED CONTENT RULE</x:v>
      </x:c>
      <x:c r="B15" s="95"/>
      <x:c r="C15" s="95"/>
      <x:c r="D15" s="95"/>
      <x:c r="E15" s="95"/>
      <x:c r="F15" s="95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>
      <x:c r="A16" s="68" t="str">
        <x:v>Rule 1</x:v>
      </x:c>
      <x:c r="B16" s="66" t="str">
        <x:v>1 source asset → multi-channel repurpose.</x:v>
      </x:c>
      <x:c r="C16" s="66"/>
      <x:c r="D16" s="66"/>
      <x:c r="E16" s="66"/>
      <x:c r="F16" s="66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>
      <x:c r="A17" s="68" t="str">
        <x:v>Rule 2</x:v>
      </x:c>
      <x:c r="B17" s="66" t="str">
        <x:v>Revenue plan hanya menentukan CTA/destination; YouTube plan menentukan video yang dibuat.</x:v>
      </x:c>
      <x:c r="C17" s="66"/>
      <x:c r="D17" s="66"/>
      <x:c r="E17" s="66"/>
      <x:c r="F17" s="66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>
      <x:c r="A18" s="68" t="str">
        <x:v>Rule 3</x:v>
      </x:c>
      <x:c r="B18" s="66" t="str">
        <x:v>Jika tema minggu YouTube relevan dengan hero product, bridge secara natural. Jika tidak relevan, jangan dipaksakan.</x:v>
      </x:c>
      <x:c r="C18" s="66"/>
      <x:c r="D18" s="66"/>
      <x:c r="E18" s="66"/>
      <x:c r="F18" s="66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>
      <x:c r="A19" s="68" t="str">
        <x:v>Rule 4</x:v>
      </x:c>
      <x:c r="B19" s="66" t="str">
        <x:v>Metrik YouTube (watch hours/subscriber/CTR) tetap di workbook YouTube; metrik revenue tetap di workbook ini.</x:v>
      </x:c>
      <x:c r="C19" s="66"/>
      <x:c r="D19" s="66"/>
      <x:c r="E19" s="66"/>
      <x:c r="F19" s="66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</x:sheetData>
  <x:mergeCells>
    <x:mergeCell ref="A1:F1"/>
    <x:mergeCell ref="A2:F2"/>
    <x:mergeCell ref="A15:F15"/>
    <x:mergeCell ref="B16:F16"/>
    <x:mergeCell ref="B17:F17"/>
    <x:mergeCell ref="B18:F18"/>
    <x:mergeCell ref="B19:F19"/>
  </x:mergeCells>
  <x:pageMargins left="0.7" right="0.7" top="0.75" bottom="0.75" header="0.3" footer="0.3"/>
</x:worksheet>
</file>