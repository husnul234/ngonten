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90-Day Roadmap" sheetId="2" r:id="rId6"/>
    <sheet state="visible" name="Content Pipeline" sheetId="4" r:id="rId7"/>
    <sheet state="visible" name="KPI Tracker" sheetId="5" r:id="rId8"/>
    <sheet state="visible" name="Series &amp; Funnel" sheetId="6" r:id="rId9"/>
    <sheet state="visible" name="Idea Bank" sheetId="7" r:id="rId10"/>
    <sheet state="visible" name="Rebrand Checklist" sheetId="8" r:id="rId11"/>
  </sheets>
  <definedNames/>
  <calcPr/>
</workbook>
</file>

<file path=xl/sharedStrings.xml><?xml version="1.0" encoding="utf-8"?>
<sst xmlns="http://schemas.openxmlformats.org/spreadsheetml/2006/main" count="1119" uniqueCount="573">
  <si>
    <t>Week</t>
  </si>
  <si>
    <t>ID</t>
  </si>
  <si>
    <t>YOUTUBE GROWTH DASHBOARD — PAK HUSNUL</t>
  </si>
  <si>
    <t>Mulai</t>
  </si>
  <si>
    <t>Selesai</t>
  </si>
  <si>
    <t>Fase</t>
  </si>
  <si>
    <t>Fokus Mingguan</t>
  </si>
  <si>
    <t>Long-form #1</t>
  </si>
  <si>
    <t>Long-form #2</t>
  </si>
  <si>
    <t>LIVE</t>
  </si>
  <si>
    <t>Shorts</t>
  </si>
  <si>
    <t>Target Watch Hours</t>
  </si>
  <si>
    <t>Review Mingguan</t>
  </si>
  <si>
    <t>Status</t>
  </si>
  <si>
    <t>90-Day Action Plan | Fokus: Bikin dengan AI • Vibe Coding • EduTech</t>
  </si>
  <si>
    <t>Format</t>
  </si>
  <si>
    <t>17/08/2026</t>
  </si>
  <si>
    <t>Publish Date</t>
  </si>
  <si>
    <t>23/08/2026</t>
  </si>
  <si>
    <t>Pillar</t>
  </si>
  <si>
    <t>BASELINE (17 Agu 2026)</t>
  </si>
  <si>
    <t>Repositioning</t>
  </si>
  <si>
    <t>Working Title</t>
  </si>
  <si>
    <t>Reset positioning + bangun cluster Gemini/Deploy</t>
  </si>
  <si>
    <t>Thumbnail Text</t>
  </si>
  <si>
    <t>Gemini Canvas ke Netlify: Cara Deploy Website Sampai Online</t>
  </si>
  <si>
    <t>Hook 0–15s</t>
  </si>
  <si>
    <t>Saya Bikin Aplikasi Tanpa Bisa Coding — Ini Workflow Saya</t>
  </si>
  <si>
    <t>Bikin Web App dari Nol dengan AI + Deploy</t>
  </si>
  <si>
    <t>Next Video / CTA</t>
  </si>
  <si>
    <t>Priority</t>
  </si>
  <si>
    <t>Cek CTR + retention 30 detik</t>
  </si>
  <si>
    <t>Views</t>
  </si>
  <si>
    <t>Nilai</t>
  </si>
  <si>
    <t>Watch Hours</t>
  </si>
  <si>
    <t>Target</t>
  </si>
  <si>
    <t>CTR</t>
  </si>
  <si>
    <t>Progress</t>
  </si>
  <si>
    <t>AVD min</t>
  </si>
  <si>
    <t>Shorts Extracted</t>
  </si>
  <si>
    <t>Subscriber</t>
  </si>
  <si>
    <t>Notes / Learning</t>
  </si>
  <si>
    <t>Planned</t>
  </si>
  <si>
    <t>URL</t>
  </si>
  <si>
    <t>24/08/2026</t>
  </si>
  <si>
    <t>30/08/2026</t>
  </si>
  <si>
    <t>W01-A</t>
  </si>
  <si>
    <t>Custom GPT cluster</t>
  </si>
  <si>
    <t>Cara Membuat Custom GPT dari Nol — Sampai Bisa Dipakai</t>
  </si>
  <si>
    <t>Long-form</t>
  </si>
  <si>
    <t>7 Kesalahan Saat Membuat Custom GPT</t>
  </si>
  <si>
    <t>Bikin Custom GPT untuk Membuat Soal</t>
  </si>
  <si>
    <t>18/08/2026</t>
  </si>
  <si>
    <t>Discovery</t>
  </si>
  <si>
    <t>Bandingkan search vs browse</t>
  </si>
  <si>
    <t>WEB-NYA ONLINE!</t>
  </si>
  <si>
    <t>Saya tunjukkan web yang masih lokal lalu versi online — hari ini kita pindahkan sampai benar-benar bisa dibuka orang lain.</t>
  </si>
  <si>
    <t>Lanjut: update Netlify tanpa ganti link</t>
  </si>
  <si>
    <t>P0</t>
  </si>
  <si>
    <t>31/08/2026</t>
  </si>
  <si>
    <t>06/09/2026</t>
  </si>
  <si>
    <t>PRD → aplikasi</t>
  </si>
  <si>
    <t/>
  </si>
  <si>
    <t>Dari Ide → PRD → Aplikasi dengan AI</t>
  </si>
  <si>
    <t>Tools AI Pembuat PRD: Saya Tes untuk Project Nyata</t>
  </si>
  <si>
    <t>Dari Ide Kosong Jadi PRD + Prototype</t>
  </si>
  <si>
    <t>Catat pertanyaan audience</t>
  </si>
  <si>
    <t>07/09/2026</t>
  </si>
  <si>
    <t>13/09/2026</t>
  </si>
  <si>
    <t>Guru Bikin Aplikasi dimulai</t>
  </si>
  <si>
    <t>Saya Bikin Aplikasi Absensi Siswa Pakai AI</t>
  </si>
  <si>
    <t>Google Sheets Jadi Aplikasi dalam 30 Menit</t>
  </si>
  <si>
    <t>Bikin Aplikasi Absensi Siswa dari Nol</t>
  </si>
  <si>
    <t>Pilih 2 cluster terbaik bulan 1</t>
  </si>
  <si>
    <t>14/09/2026</t>
  </si>
  <si>
    <t>20/09/2026</t>
  </si>
  <si>
    <t>Double Down</t>
  </si>
  <si>
    <t>Scale cluster pemenang + nilai siswa</t>
  </si>
  <si>
    <t>Saya Bikin Aplikasi Nilai Siswa Pakai AI</t>
  </si>
  <si>
    <t>Cara Update Website Netlify Tanpa Ganti Link</t>
  </si>
  <si>
    <t>W01-B</t>
  </si>
  <si>
    <t>Bikin Aplikasi Nilai + Rekap Otomatis</t>
  </si>
  <si>
    <t>Update thumbnail video CTR rendah</t>
  </si>
  <si>
    <t>21/08/2026</t>
  </si>
  <si>
    <t>Series</t>
  </si>
  <si>
    <t>21/09/2026</t>
  </si>
  <si>
    <t>27/09/2026</t>
  </si>
  <si>
    <t>SAYA BIKIN INI</t>
  </si>
  <si>
    <t>Ini aplikasi yang saya buat. Saya bukan programmer tradisional; saya tunjukkan workflow AI yang saya pakai dari ide sampai jadi.</t>
  </si>
  <si>
    <t>Gemini Gems + workflow guru</t>
  </si>
  <si>
    <t>Cara Membuat Gemini Gems yang Benar</t>
  </si>
  <si>
    <t>Lanjut: Ide → PRD → Aplikasi</t>
  </si>
  <si>
    <t>Saya Bikin AI Pembuat Soal dengan Gemini Gems</t>
  </si>
  <si>
    <t>Bikin Asisten Soal Guru dengan Gemini</t>
  </si>
  <si>
    <t>Perkuat end-screen chain</t>
  </si>
  <si>
    <t>28/09/2026</t>
  </si>
  <si>
    <t>04/10/2026</t>
  </si>
  <si>
    <t>W01-L</t>
  </si>
  <si>
    <t>Deploy + domain</t>
  </si>
  <si>
    <t>Cara Pasang Custom Domain di Netlify untuk Pemula</t>
  </si>
  <si>
    <t>Live</t>
  </si>
  <si>
    <t>Netlify vs Vercel: Mana Paling Mudah untuk Pemula?</t>
  </si>
  <si>
    <t>Web AI → Deploy → Custom Domain LIVE</t>
  </si>
  <si>
    <t>Qualified Watch Hours</t>
  </si>
  <si>
    <t>Cek suggested traffic antarvideo</t>
  </si>
  <si>
    <t>LIVE: Bikin Web App dari Nol dengan AI + Deploy</t>
  </si>
  <si>
    <t>BUILD LIVE</t>
  </si>
  <si>
    <t>Mulai dari layar kosong; target sesi: satu web app jadi dan online sebelum live selesai.</t>
  </si>
  <si>
    <t>05/10/2026</t>
  </si>
  <si>
    <t>11/10/2026</t>
  </si>
  <si>
    <t>Playlist: Bikin dengan AI</t>
  </si>
  <si>
    <t>AI productivity + education crossover</t>
  </si>
  <si>
    <t>Week Start</t>
  </si>
  <si>
    <t>Dari RPP Jadi PowerPoint dengan AI</t>
  </si>
  <si>
    <t>7 Prompt AI yang Menghemat Pekerjaan Guru</t>
  </si>
  <si>
    <t>Bikin Media Pembelajaran dari RPP</t>
  </si>
  <si>
    <t>Subscribers</t>
  </si>
  <si>
    <t>Review 8 minggu: stop topik lemah</t>
  </si>
  <si>
    <t>Shorts Views 90 hari</t>
  </si>
  <si>
    <t>Δ Subs</t>
  </si>
  <si>
    <t>12/10/2026</t>
  </si>
  <si>
    <t>18/10/2026</t>
  </si>
  <si>
    <t>Series Engine</t>
  </si>
  <si>
    <t>W02-A</t>
  </si>
  <si>
    <t>Qualified WH (Cumulative)</t>
  </si>
  <si>
    <t>Serial Guru Bikin Aplikasi</t>
  </si>
  <si>
    <t>Bikin Aplikasi Kas Kelas dengan AI</t>
  </si>
  <si>
    <t>Bikin Aplikasi Jurnal Mengajar dengan AI</t>
  </si>
  <si>
    <t>Δ WH</t>
  </si>
  <si>
    <t>Bikin Kas Kelas + Dashboard</t>
  </si>
  <si>
    <t>25/08/2026</t>
  </si>
  <si>
    <t>Optimasi playlist series</t>
  </si>
  <si>
    <t>Returning Viewers</t>
  </si>
  <si>
    <t>BUAT AI SENDIRI</t>
  </si>
  <si>
    <t>Long-form Views</t>
  </si>
  <si>
    <t>Dalam video ini kita mulai dari GPT kosong dan berakhir dengan asisten yang benar-benar punya instruksi dan knowledge sendiri.</t>
  </si>
  <si>
    <t>WH Mingguan</t>
  </si>
  <si>
    <t>19/10/2026</t>
  </si>
  <si>
    <t>Lanjut: 7 kesalahan Custom GPT</t>
  </si>
  <si>
    <t>90-DAY KPI</t>
  </si>
  <si>
    <t>CTR Avg</t>
  </si>
  <si>
    <t>25/10/2026</t>
  </si>
  <si>
    <t>Aktual</t>
  </si>
  <si>
    <t>AVD (min)</t>
  </si>
  <si>
    <t>Target 90 Hari</t>
  </si>
  <si>
    <t>30s Retention</t>
  </si>
  <si>
    <t>Build in public produk nyata</t>
  </si>
  <si>
    <t>Saya Bikin PosterEdu: Dari Masalah Jadi Aplikasi</t>
  </si>
  <si>
    <t>Long-form Pub</t>
  </si>
  <si>
    <t>Kenapa Aplikasi AI Saya Lambat? Ini Kesalahannya</t>
  </si>
  <si>
    <t>Audit + Perbaiki Aplikasi AI yang Lambat</t>
  </si>
  <si>
    <t>Long-form Published</t>
  </si>
  <si>
    <t>Live Pub</t>
  </si>
  <si>
    <t>Shorts Pub</t>
  </si>
  <si>
    <t>Cari peak retention untuk format authority</t>
  </si>
  <si>
    <t>Best Video</t>
  </si>
  <si>
    <t>Action Next Week</t>
  </si>
  <si>
    <t>W02-B</t>
  </si>
  <si>
    <t>26/10/2026</t>
  </si>
  <si>
    <t>01/11/2026</t>
  </si>
  <si>
    <t>Marketplace / produk digital</t>
  </si>
  <si>
    <t>28/08/2026</t>
  </si>
  <si>
    <t>Dari Aplikasi Jadi Produk Digital: Workflow Saya</t>
  </si>
  <si>
    <t>Saya Tambahkan Marketplace ke Aplikasi Guru</t>
  </si>
  <si>
    <t>Baseline</t>
  </si>
  <si>
    <t>Build Marketplace Sederhana dengan AI</t>
  </si>
  <si>
    <t>JANGAN BEGINI</t>
  </si>
  <si>
    <t>Periksa subscriber gained/video</t>
  </si>
  <si>
    <t>Custom GPT bisa terlihat bekerja padahal instruksinya rapuh. Ini tujuh kesalahan yang paling sering membuat hasilnya ngawur.</t>
  </si>
  <si>
    <t>Lanjut: Custom GPT pembuat soal</t>
  </si>
  <si>
    <t>P1</t>
  </si>
  <si>
    <t>02/11/2026</t>
  </si>
  <si>
    <t>08/11/2026</t>
  </si>
  <si>
    <t>Perbandingan tools berintent tinggi</t>
  </si>
  <si>
    <t>ChatGPT vs Gemini untuk Bikin Aplikasi: Saya Tes</t>
  </si>
  <si>
    <t>Lovable vs Google Apps Script + AI: Pilih Mana?</t>
  </si>
  <si>
    <t>Battle Build: 2 Tools, 1 Aplikasi</t>
  </si>
  <si>
    <t>Tentukan signature format final</t>
  </si>
  <si>
    <t>W02-L</t>
  </si>
  <si>
    <t>09/11/2026</t>
  </si>
  <si>
    <t>15/11/2026</t>
  </si>
  <si>
    <t>90-day recap + next season</t>
  </si>
  <si>
    <t>LIVE: Bikin Custom GPT untuk Membuat Soal</t>
  </si>
  <si>
    <t>90 Hari Membangun Channel AI: Apa yang Berhasil?</t>
  </si>
  <si>
    <t>GPT SOAL LIVE</t>
  </si>
  <si>
    <t>Saya Bikin Aplikasi Wali Kelas Tanpa Jadi Programmer</t>
  </si>
  <si>
    <t>Kita buat asisten soal dari nol, lalu dites dengan prompt yang sengaja sulit.</t>
  </si>
  <si>
    <t>Final Build: Aplikasi Wali Kelas</t>
  </si>
  <si>
    <t>Playlist Custom AI</t>
  </si>
  <si>
    <t>Audit 90 hari + plan Q4 berikutnya</t>
  </si>
  <si>
    <t>W03-A</t>
  </si>
  <si>
    <t>01/09/2026</t>
  </si>
  <si>
    <t>IDE → APP</t>
  </si>
  <si>
    <t>Saya mulai dari satu kalimat ide. Kita lihat bagaimana AI mengubahnya jadi requirement, PRD, lalu prototype.</t>
  </si>
  <si>
    <t>Lanjut: tools AI pembuat PRD</t>
  </si>
  <si>
    <t>W03-B</t>
  </si>
  <si>
    <t>04/09/2026</t>
  </si>
  <si>
    <t>PRD 5 MENIT?</t>
  </si>
  <si>
    <t>Saya tidak tes dengan contoh main-main; kita pakai project nyata dan lihat output mana yang paling bisa langsung dibangun.</t>
  </si>
  <si>
    <t>Lanjut: prototype dari PRD</t>
  </si>
  <si>
    <t>Live Published</t>
  </si>
  <si>
    <t>W03-L</t>
  </si>
  <si>
    <t>Authority</t>
  </si>
  <si>
    <t>LIVE: Dari Ide Kosong Jadi PRD + Prototype</t>
  </si>
  <si>
    <t>IDE KOSONG → APP</t>
  </si>
  <si>
    <t>Audience kasih ide; kita pilih satu dan bangun requirement + prototype live.</t>
  </si>
  <si>
    <t>Playlist Build with AI</t>
  </si>
  <si>
    <t>W04-A</t>
  </si>
  <si>
    <t>08/09/2026</t>
  </si>
  <si>
    <t>ABSENSI JADI</t>
  </si>
  <si>
    <t>Ini hasil akhirnya. Sekarang saya bongkar proses dari Google Sheet kosong sampai jadi aplikasi.</t>
  </si>
  <si>
    <t>Episode berikut: aplikasi nilai</t>
  </si>
  <si>
    <t>Shorts Published</t>
  </si>
  <si>
    <t>W04-B</t>
  </si>
  <si>
    <t>11/09/2026</t>
  </si>
  <si>
    <t>SHEET → APP</t>
  </si>
  <si>
    <t>Kalau data Anda sudah ada di Google Sheets, Anda sebenarnya sudah separuh jalan membuat aplikasi.</t>
  </si>
  <si>
    <t>Lanjut: aplikasi absensi</t>
  </si>
  <si>
    <t>Watch Hours / Bulan</t>
  </si>
  <si>
    <t>W04-L</t>
  </si>
  <si>
    <t>LIVE: Bikin Aplikasi Absensi Siswa dari Nol</t>
  </si>
  <si>
    <t>ABSENSI LIVE</t>
  </si>
  <si>
    <t>Target kita bukan tutorial setengah jadi: absensi harus bisa input, rekap, dan dibuka di HP.</t>
  </si>
  <si>
    <t>Playlist Guru Bikin Aplikasi</t>
  </si>
  <si>
    <t>W05-A</t>
  </si>
  <si>
    <t>15/09/2026</t>
  </si>
  <si>
    <t>NILAI OTOMATIS</t>
  </si>
  <si>
    <t>Input nilai sekali, rekap dan kategorinya langsung muncul. Kita bikin sistemnya dengan AI.</t>
  </si>
  <si>
    <t>Episode berikut: kas kelas</t>
  </si>
  <si>
    <t>W05-B</t>
  </si>
  <si>
    <t>18/09/2026</t>
  </si>
  <si>
    <t>LINK TETAP!</t>
  </si>
  <si>
    <t>Website Anda sudah online; masalah berikutnya biasanya cara update tanpa membuat URL baru. Ini caranya.</t>
  </si>
  <si>
    <t>Lanjut: custom domain</t>
  </si>
  <si>
    <t>STRATEGI INTI 90 HARI</t>
  </si>
  <si>
    <t>W05-L</t>
  </si>
  <si>
    <t>LIVE: Bikin Aplikasi Nilai + Rekap Otomatis</t>
  </si>
  <si>
    <t>NILAI LIVE</t>
  </si>
  <si>
    <t>Kita bikin dari format nilai mentah sampai dashboard rekap.</t>
  </si>
  <si>
    <t>Guru Bikin Aplikasi</t>
  </si>
  <si>
    <t>1. 40% Discovery: search intent kuat — Gemini, Custom GPT, deploy, PRD, API.</t>
  </si>
  <si>
    <t>2. 40% Series: Guru Bikin Aplikasi / Build with AI untuk membentuk returning viewer.</t>
  </si>
  <si>
    <t>W06-A</t>
  </si>
  <si>
    <t>3. 20% Authority: build-in-public, breakdown produk, kesalahan &amp; studi kasus.</t>
  </si>
  <si>
    <t>22/09/2026</t>
  </si>
  <si>
    <t>4. Shorts = discovery. Long-form + Live = mesin watch hours.</t>
  </si>
  <si>
    <t>GEMS YANG NURUT</t>
  </si>
  <si>
    <t>Gem sering terasa pintar di awal tapi inkonsisten. Kita susun instruksi supaya perilakunya lebih stabil.</t>
  </si>
  <si>
    <t>5. CTA tiap video harus mengantar ke NEXT VIDEO / playlist, bukan cuma “subscribe”.</t>
  </si>
  <si>
    <t>Lanjut: AI pembuat soal</t>
  </si>
  <si>
    <t>WEEKLY CADENCE</t>
  </si>
  <si>
    <t>Selasa</t>
  </si>
  <si>
    <t>Long-form Discovery / Search (8–15 menit)</t>
  </si>
  <si>
    <t>W06-B</t>
  </si>
  <si>
    <t>Jumat</t>
  </si>
  <si>
    <t>25/09/2026</t>
  </si>
  <si>
    <t>Build / Case Study (15–30 menit)</t>
  </si>
  <si>
    <t>AI PEMBUAT SOAL</t>
  </si>
  <si>
    <t>Saya masukkan satu materi dan AI ini langsung menghasilkan struktur soal yang bisa kita kontrol.</t>
  </si>
  <si>
    <t>Minggu</t>
  </si>
  <si>
    <t>Lanjut: RPP jadi PPT</t>
  </si>
  <si>
    <t>LIVE Bikin Bareng Pak Husnul (60–90 menit)</t>
  </si>
  <si>
    <t>Rabu + Sabtu</t>
  </si>
  <si>
    <t>Shorts hasil potongan long-form/live</t>
  </si>
  <si>
    <t>W06-L</t>
  </si>
  <si>
    <t>LIVE: Bikin Asisten Soal Guru dengan Gemini</t>
  </si>
  <si>
    <t>SOAL LIVE</t>
  </si>
  <si>
    <t>Kita bangun, tes, lalu revisi instruksinya sampai hasil soal konsisten.</t>
  </si>
  <si>
    <t>Playlist AI Praktis</t>
  </si>
  <si>
    <t>W07-A</t>
  </si>
  <si>
    <t>29/09/2026</t>
  </si>
  <si>
    <t>DOMAIN SENDIRI</t>
  </si>
  <si>
    <t>Dari URL netlify.app kita ubah menjadi domain sendiri, termasuk DNS yang biasanya bikin bingung.</t>
  </si>
  <si>
    <t>Lanjut: Netlify vs Vercel</t>
  </si>
  <si>
    <t>W07-B</t>
  </si>
  <si>
    <t>SERIES / CLUSTER</t>
  </si>
  <si>
    <t>02/10/2026</t>
  </si>
  <si>
    <t>NETLIFY vs VERCEL</t>
  </si>
  <si>
    <t>Saya deploy project yang sama ke dua platform dan bandingkan langkah, error, dan hasilnya.</t>
  </si>
  <si>
    <t>Lanjut: full deployment workflow</t>
  </si>
  <si>
    <t>ROLE</t>
  </si>
  <si>
    <t>ENTRY VIDEO</t>
  </si>
  <si>
    <t>W07-L</t>
  </si>
  <si>
    <t>NEXT #1</t>
  </si>
  <si>
    <t>NEXT #2</t>
  </si>
  <si>
    <t>NEXT #3</t>
  </si>
  <si>
    <t>PLAYLIST CTA</t>
  </si>
  <si>
    <t>LIVE: Web AI → Deploy → Custom Domain</t>
  </si>
  <si>
    <t>BUSINESS BRIDGE</t>
  </si>
  <si>
    <t>0 → ONLINE</t>
  </si>
  <si>
    <t>KPI UTAMA</t>
  </si>
  <si>
    <t>Satu sesi: build, deploy, domain. Target akhir URL nyata yang bisa dibuka audience.</t>
  </si>
  <si>
    <t>Playlist Deploy Web</t>
  </si>
  <si>
    <t>Deploy Web dengan AI</t>
  </si>
  <si>
    <t>Discovery magnet</t>
  </si>
  <si>
    <t>Gemini Canvas → Netlify</t>
  </si>
  <si>
    <t>Update Netlify tanpa ganti link</t>
  </si>
  <si>
    <t>Custom domain Netlify</t>
  </si>
  <si>
    <t>Netlify vs Vercel</t>
  </si>
  <si>
    <t>Tonton playlist Deploy Web</t>
  </si>
  <si>
    <t>Website/app custom + pakhusnul.id</t>
  </si>
  <si>
    <t>Search views → playlist starts</t>
  </si>
  <si>
    <t>W08-A</t>
  </si>
  <si>
    <t>Custom AI</t>
  </si>
  <si>
    <t>Discovery + returning</t>
  </si>
  <si>
    <t>Cara Membuat Custom GPT</t>
  </si>
  <si>
    <t>06/10/2026</t>
  </si>
  <si>
    <t>7 Kesalahan Custom GPT</t>
  </si>
  <si>
    <t>Education</t>
  </si>
  <si>
    <t>Custom GPT pembuat soal</t>
  </si>
  <si>
    <t>Custom GPT vs Gemini Gems</t>
  </si>
  <si>
    <t>Ikuti seri Custom AI</t>
  </si>
  <si>
    <t>Prompt/Custom GPT/product AI</t>
  </si>
  <si>
    <t>RPP → PPT</t>
  </si>
  <si>
    <t>Returning viewers</t>
  </si>
  <si>
    <t>Saya ambil RPP biasa dan kita ubah menjadi presentasi yang benar-benar siap mengajar.</t>
  </si>
  <si>
    <t>Lanjut: 7 prompt AI guru</t>
  </si>
  <si>
    <t>Signature series</t>
  </si>
  <si>
    <t>Aplikasi Absensi</t>
  </si>
  <si>
    <t>Aplikasi Nilai</t>
  </si>
  <si>
    <t>Kas Kelas</t>
  </si>
  <si>
    <t>Jurnal Mengajar</t>
  </si>
  <si>
    <t>Episode berikutnya minggu depan</t>
  </si>
  <si>
    <t>ModulAjar/BuatSoal/Workshop</t>
  </si>
  <si>
    <t>Watch hours + subscribers/video</t>
  </si>
  <si>
    <t>Build in Public</t>
  </si>
  <si>
    <t>PosterEdu dari masalah jadi app</t>
  </si>
  <si>
    <t>Kenapa app lambat</t>
  </si>
  <si>
    <t>W08-B</t>
  </si>
  <si>
    <t>App → produk digital</t>
  </si>
  <si>
    <t>Tambah marketplace</t>
  </si>
  <si>
    <t>Ikuti project berikutnya</t>
  </si>
  <si>
    <t>SaaS + agency + workshop</t>
  </si>
  <si>
    <t>09/10/2026</t>
  </si>
  <si>
    <t>AVD + high-value comments</t>
  </si>
  <si>
    <t>AI untuk Guru</t>
  </si>
  <si>
    <t>Education crossover</t>
  </si>
  <si>
    <t>RPP → PowerPoint</t>
  </si>
  <si>
    <t>HEMAT 2 JAM?</t>
  </si>
  <si>
    <t>7 Prompt AI Guru</t>
  </si>
  <si>
    <t>AI Pembuat Soal</t>
  </si>
  <si>
    <t>Bukan prompt gimmick; saya pilih tujuh workflow yang benar-benar saya pakai untuk pekerjaan pendidikan.</t>
  </si>
  <si>
    <t>Media dari RPP</t>
  </si>
  <si>
    <t>Playlist AI Praktis untuk Guru</t>
  </si>
  <si>
    <t>Lanjut: aplikasi jurnal mengajar</t>
  </si>
  <si>
    <t>Produk EdTech + komunitas</t>
  </si>
  <si>
    <t>Search + leads</t>
  </si>
  <si>
    <t>FUNNEL RULES</t>
  </si>
  <si>
    <t>W08-L</t>
  </si>
  <si>
    <t>LIVE: Bikin Media Pembelajaran dari RPP</t>
  </si>
  <si>
    <t>RPP JADI MEDIA</t>
  </si>
  <si>
    <t>Discovery video</t>
  </si>
  <si>
    <t>Audience kirim tema/RPP; kita pilih satu dan ubah jadi media visual.</t>
  </si>
  <si>
    <t>Playlist AI untuk Guru</t>
  </si>
  <si>
    <t>Jangan CTA ke homepage. CTA ke video spesifik yang menjawab masalah berikutnya.</t>
  </si>
  <si>
    <t>Series video</t>
  </si>
  <si>
    <t>Sebut nama seri di opening/closing agar penonton punya alasan untuk kembali.</t>
  </si>
  <si>
    <t>Sebelum live: Community post. Setelah live: timestamp + potong 2 Shorts + arahkan ke video tutorial ringkas.</t>
  </si>
  <si>
    <t>Produk</t>
  </si>
  <si>
    <t>Produk tampil sebagai hasil/studi kasus; hindari video yang terasa iklan fitur.</t>
  </si>
  <si>
    <t>W09-A</t>
  </si>
  <si>
    <t>13/10/2026</t>
  </si>
  <si>
    <t>KAS OTOMATIS</t>
  </si>
  <si>
    <t>Kita bikin kas kelas yang bisa catat pemasukan, pengeluaran, saldo, dan laporan tanpa spreadsheet manual berantakan.</t>
  </si>
  <si>
    <t>Lanjut: jurnal mengajar</t>
  </si>
  <si>
    <t>Area</t>
  </si>
  <si>
    <t>W09-B</t>
  </si>
  <si>
    <t>16/10/2026</t>
  </si>
  <si>
    <t>Idea</t>
  </si>
  <si>
    <t>JURNAL 1 KLIK</t>
  </si>
  <si>
    <t>Selesai mengajar, isi beberapa data, jurnal langsung tercatat dan bisa direkap.</t>
  </si>
  <si>
    <t>Lanjut: build marketplace</t>
  </si>
  <si>
    <t>Action</t>
  </si>
  <si>
    <t>Deadline</t>
  </si>
  <si>
    <t>Catatan</t>
  </si>
  <si>
    <t>W09-L</t>
  </si>
  <si>
    <t>Intent</t>
  </si>
  <si>
    <t>Positioning</t>
  </si>
  <si>
    <t>Potential Title</t>
  </si>
  <si>
    <t>Tetapkan positioning: PAK HUSNUL — Bikin dengan AI</t>
  </si>
  <si>
    <t>Thumbnail</t>
  </si>
  <si>
    <t>LIVE: Bikin Kas Kelas + Dashboard</t>
  </si>
  <si>
    <t>KAS LIVE</t>
  </si>
  <si>
    <t>Search Keyword</t>
  </si>
  <si>
    <t>20/08/2026</t>
  </si>
  <si>
    <t>Kita bikin sistem transaksi + dashboard dari nol dan tes dengan data dummy.</t>
  </si>
  <si>
    <t>Series Fit</t>
  </si>
  <si>
    <t>Business Fit</t>
  </si>
  <si>
    <t>To Do</t>
  </si>
  <si>
    <t>Score /10</t>
  </si>
  <si>
    <t>Subline: AI Praktis • Vibe Coding • EduTech</t>
  </si>
  <si>
    <t>Decision</t>
  </si>
  <si>
    <t>Channel Name</t>
  </si>
  <si>
    <t>Notes</t>
  </si>
  <si>
    <t>Pertimbangkan nama channel menjadi “Pak Husnul” (personal brand)</t>
  </si>
  <si>
    <t>Deploy Gemini Canvas ke GitHub Pages</t>
  </si>
  <si>
    <t>W10-A</t>
  </si>
  <si>
    <t>Search</t>
  </si>
  <si>
    <t>20/10/2026</t>
  </si>
  <si>
    <t>Done</t>
  </si>
  <si>
    <t>Cara Deploy Website Gemini Canvas ke GitHub Pages</t>
  </si>
  <si>
    <t>WEB GRATIS ONLINE</t>
  </si>
  <si>
    <t>KENAPA SAYA BIKIN INI</t>
  </si>
  <si>
    <t>deploy gemini canvas github pages</t>
  </si>
  <si>
    <t>Masalah awalnya sederhana: membuat poster pendidikan berulang-ulang. Ini perjalanan mengubah masalah itu jadi produk.</t>
  </si>
  <si>
    <t>Deploy Web</t>
  </si>
  <si>
    <t>Lanjut: kenapa app lambat</t>
  </si>
  <si>
    <t>Handle</t>
  </si>
  <si>
    <t>Medium</t>
  </si>
  <si>
    <t>Cek ketersediaan @pakhusnul / @pakhusnulid / @pakhusnulai</t>
  </si>
  <si>
    <t>Banner</t>
  </si>
  <si>
    <t>Keep</t>
  </si>
  <si>
    <t>Ganti banner lama “mizter good” dengan identitas baru</t>
  </si>
  <si>
    <t>Error Netlify setelah deploy</t>
  </si>
  <si>
    <t>W10-B</t>
  </si>
  <si>
    <t>23/10/2026</t>
  </si>
  <si>
    <t>Website AI Error Setelah Deploy? 7 Penyebabnya</t>
  </si>
  <si>
    <t>KENAPA ERROR?</t>
  </si>
  <si>
    <t>netlify deploy error</t>
  </si>
  <si>
    <t>Profile Photo</t>
  </si>
  <si>
    <t>APP 10+ DETIK?!</t>
  </si>
  <si>
    <t>Gunakan close-up wajah/headshot yang terbaca di ukuran kecil</t>
  </si>
  <si>
    <t>Saya punya app yang butuh lebih dari 10 detik untuk loading. Kita bongkar penyebabnya, bukan sekadar tambah spinner.</t>
  </si>
  <si>
    <t>High</t>
  </si>
  <si>
    <t>Lanjut: audit app live</t>
  </si>
  <si>
    <t>About</t>
  </si>
  <si>
    <t>Gemini Gems vs Custom GPT</t>
  </si>
  <si>
    <t>Rewrite deskripsi channel: apa yang dibuat + siapa yang dibantu + CTA</t>
  </si>
  <si>
    <t>Comparison</t>
  </si>
  <si>
    <t>22/08/2026</t>
  </si>
  <si>
    <t>Gemini Gems vs Custom GPT: Saya Tes dengan Tugas yang Sama</t>
  </si>
  <si>
    <t>GEMS vs GPT</t>
  </si>
  <si>
    <t>W10-L</t>
  </si>
  <si>
    <t>gemini gems vs custom gpt</t>
  </si>
  <si>
    <t>Homepage</t>
  </si>
  <si>
    <t>Hapus/kurangi For You lama dari etalase; tampilkan playlist niche baru</t>
  </si>
  <si>
    <t>LIVE: Audit + Perbaiki Aplikasi AI yang Lambat</t>
  </si>
  <si>
    <t>AUDIT LIVE</t>
  </si>
  <si>
    <t>Kita mulai dari gejala, ukur bottleneck, lalu perbaiki satu per satu.</t>
  </si>
  <si>
    <t>Trailer</t>
  </si>
  <si>
    <t>Custom GPT dengan knowledge PDF</t>
  </si>
  <si>
    <t>Playlist Build in Public</t>
  </si>
  <si>
    <t>Buat channel trailer 45–60 detik: “Mulai dari sini”</t>
  </si>
  <si>
    <t>Cara Membuat Custom GPT dari PDF / Dokumen Sendiri</t>
  </si>
  <si>
    <t>GPT BACA FILE</t>
  </si>
  <si>
    <t>custom gpt knowledge pdf</t>
  </si>
  <si>
    <t>Playlists</t>
  </si>
  <si>
    <t>Buat: AI Praktis, Vibe Coding, Guru Bikin Aplikasi, Custom GPT, Deploy Web</t>
  </si>
  <si>
    <t>W11-A</t>
  </si>
  <si>
    <t>Bikin app dari spreadsheet</t>
  </si>
  <si>
    <t>27/10/2026</t>
  </si>
  <si>
    <t>Browse + Search</t>
  </si>
  <si>
    <t>Punya Google Sheet? Ubah Jadi Aplikasi seperti Ini</t>
  </si>
  <si>
    <t>APP → PRODUK</t>
  </si>
  <si>
    <t>Tetapkan template visual lebih sederhana: 2–4 kata + result/UI besar + wajah seperlunya</t>
  </si>
  <si>
    <t>google sheets jadi aplikasi</t>
  </si>
  <si>
    <t>Aplikasi selesai bukan akhir. Saya tunjukkan bagaimana saya kemas menjadi produk yang bisa dipakai dan dijual.</t>
  </si>
  <si>
    <t>Lanjut: tambah marketplace</t>
  </si>
  <si>
    <t>Video Structure</t>
  </si>
  <si>
    <t>Aplikasi SPP sekolah</t>
  </si>
  <si>
    <t>Standarkan: Result 0–15s → Promise → Roadmap → Tutorial → Next Video</t>
  </si>
  <si>
    <t>Browse</t>
  </si>
  <si>
    <t>Saya Bikin Aplikasi SPP Sekolah Pakai AI</t>
  </si>
  <si>
    <t>SPP OTOMATIS</t>
  </si>
  <si>
    <t>aplikasi spp sekolah</t>
  </si>
  <si>
    <t>W11-B</t>
  </si>
  <si>
    <t>CTA</t>
  </si>
  <si>
    <t>Ganti CTA generic subscribe menjadi CTA seri + next video</t>
  </si>
  <si>
    <t>30/10/2026</t>
  </si>
  <si>
    <t>APP + MARKETPLACE</t>
  </si>
  <si>
    <t>Aplikasi pengumuman kelulusan</t>
  </si>
  <si>
    <t>End Screen</t>
  </si>
  <si>
    <t>Aplikasi awalnya cuma generator. Sekarang saya tunjukkan bagaimana fitur marketplace mengubah arsitekturnya.</t>
  </si>
  <si>
    <t>Setiap video diarahkan ke satu next video/playlist yang relevan</t>
  </si>
  <si>
    <t>Seasonal Search</t>
  </si>
  <si>
    <t>Lanjut: build marketplace live</t>
  </si>
  <si>
    <t>Bikin Web Pengumuman Kelulusan dari Google Sheet dengan AI</t>
  </si>
  <si>
    <t>CEK LULUS</t>
  </si>
  <si>
    <t>web pengumuman kelulusan</t>
  </si>
  <si>
    <t>Old Videos</t>
  </si>
  <si>
    <t>Jangan delete massal; pindahkan video lama ke playlist Arsip</t>
  </si>
  <si>
    <t>P2</t>
  </si>
  <si>
    <t>Aplikasi ujian anti-cheat</t>
  </si>
  <si>
    <t>W11-L</t>
  </si>
  <si>
    <t>Analytics</t>
  </si>
  <si>
    <t>Saya Bikin Web Ujian yang Lebih Sulit Dicurangi dengan AI</t>
  </si>
  <si>
    <t>Review KPI setiap Senin: CTR, AVD, 30s retention, returning viewers, WH</t>
  </si>
  <si>
    <t>ANTI CURANG?</t>
  </si>
  <si>
    <t>web ujian online anti curang</t>
  </si>
  <si>
    <t>Weekly</t>
  </si>
  <si>
    <t>LIVE: Build Marketplace Sederhana dengan AI</t>
  </si>
  <si>
    <t>MARKETPLACE LIVE</t>
  </si>
  <si>
    <t>Kita desain data, flow seller/buyer, lalu prototype fitur intinya.</t>
  </si>
  <si>
    <t>Bikin dashboard wali kelas</t>
  </si>
  <si>
    <t>Saya Bikin Dashboard Wali Kelas dengan AI</t>
  </si>
  <si>
    <t>SEMUA DI 1 APP</t>
  </si>
  <si>
    <t>dashboard wali kelas</t>
  </si>
  <si>
    <t>W12-A</t>
  </si>
  <si>
    <t>03/11/2026</t>
  </si>
  <si>
    <t>Prompt membuat soal lebih baik</t>
  </si>
  <si>
    <t>CHATGPT vs GEMINI</t>
  </si>
  <si>
    <t>Jangan Cuma Ketik “Buatkan Soal” — Pakai Struktur Ini</t>
  </si>
  <si>
    <t>Prompt sama, project sama, dua AI. Kita lihat siapa yang menghasilkan plan dan kode yang lebih bisa dipakai.</t>
  </si>
  <si>
    <t>PROMPT SALAH!</t>
  </si>
  <si>
    <t>Lanjut: Lovable vs GAS</t>
  </si>
  <si>
    <t>prompt ai membuat soal</t>
  </si>
  <si>
    <t>Modul ajar dengan AI</t>
  </si>
  <si>
    <t>W12-B</t>
  </si>
  <si>
    <t>Cara Membuat Modul Ajar dengan AI Tanpa Mulai dari Nol</t>
  </si>
  <si>
    <t>MODUL 5 MENIT?</t>
  </si>
  <si>
    <t>cara membuat modul ajar dengan ai</t>
  </si>
  <si>
    <t>06/11/2026</t>
  </si>
  <si>
    <t>LOVABLE vs GAS</t>
  </si>
  <si>
    <t>Dua pendekatan ini sama-sama bisa bikin aplikasi, tapi cocok untuk masalah yang berbeda. Kita bandingkan dengan project yang sama.</t>
  </si>
  <si>
    <t>Lanjut: battle build live</t>
  </si>
  <si>
    <t>RPP jadi materi visual</t>
  </si>
  <si>
    <t>Saya Ubah RPP Biasa Jadi Materi Visual dengan AI</t>
  </si>
  <si>
    <t>RPP → VISUAL</t>
  </si>
  <si>
    <t>rpp jadi materi visual ai</t>
  </si>
  <si>
    <t>W12-L</t>
  </si>
  <si>
    <t>Poster edukasi AI</t>
  </si>
  <si>
    <t>LIVE: Battle Build — 2 Tools, 1 Aplikasi</t>
  </si>
  <si>
    <t>Bikin Poster Edukasi yang Teksnya Tetap Terbaca dengan AI</t>
  </si>
  <si>
    <t>BATTLE BUILD</t>
  </si>
  <si>
    <t>TEKS GAK NGACO</t>
  </si>
  <si>
    <t>Kita bangun fitur yang sama dengan dua tool dan hitung waktu serta masalahnya.</t>
  </si>
  <si>
    <t>poster edukasi ai</t>
  </si>
  <si>
    <t>Playlist Comparison</t>
  </si>
  <si>
    <t>Lovable untuk guru</t>
  </si>
  <si>
    <t>Lovable untuk Pemula: Bikin Aplikasi Pertama Tanpa Coding</t>
  </si>
  <si>
    <t>APP PERTAMA</t>
  </si>
  <si>
    <t>W13-A</t>
  </si>
  <si>
    <t>lovable tutorial indonesia</t>
  </si>
  <si>
    <t>Vibe Coding</t>
  </si>
  <si>
    <t>10/11/2026</t>
  </si>
  <si>
    <t>90 HARI: HASILNYA?</t>
  </si>
  <si>
    <t>Vibe coding dari nol</t>
  </si>
  <si>
    <t>90 hari lalu channel ini punya 770 subscriber dan 266 qualified watch hours. Ini data apa yang berubah dan apa yang gagal.</t>
  </si>
  <si>
    <t>Lanjut: aplikasi wali kelas</t>
  </si>
  <si>
    <t>Apa Itu Vibe Coding? Saya Tunjukkan dengan Project Nyata</t>
  </si>
  <si>
    <t>NGODING PAKAI AI</t>
  </si>
  <si>
    <t>vibe coding indonesia</t>
  </si>
  <si>
    <t>Claude vs ChatGPT coding</t>
  </si>
  <si>
    <t>W13-B</t>
  </si>
  <si>
    <t>Claude vs ChatGPT untuk Coding: Saya Tes Project yang Sama</t>
  </si>
  <si>
    <t>13/11/2026</t>
  </si>
  <si>
    <t>CLAUDE vs GPT</t>
  </si>
  <si>
    <t>claude vs chatgpt coding</t>
  </si>
  <si>
    <t>APP WALI KELAS</t>
  </si>
  <si>
    <t>Saya gabungkan beberapa masalah nyata wali kelas menjadi satu aplikasi dan tunjukkan keputusan desainnya.</t>
  </si>
  <si>
    <t>Next season Guru Bikin Aplikasi</t>
  </si>
  <si>
    <t>Build app pakai prompt buruk vs bagus</t>
  </si>
  <si>
    <t>Prompt Jelek vs Prompt Terstruktur: Hasil Aplikasinya Beda Sejauh Apa?</t>
  </si>
  <si>
    <t>PROMPT vs PROMPT</t>
  </si>
  <si>
    <t>prompt coding ai</t>
  </si>
  <si>
    <t>W13-L</t>
  </si>
  <si>
    <t>Kesalahan vibe coding</t>
  </si>
  <si>
    <t>LIVE: Final Build — Aplikasi Wali Kelas</t>
  </si>
  <si>
    <t>FINAL BUILD</t>
  </si>
  <si>
    <t>7 Kesalahan Vibe Coding yang Bikin Aplikasi Cepat Rusak</t>
  </si>
  <si>
    <t>Final 90 hari: satu aplikasi lebih besar yang menggabungkan semua pola build yang sudah kita pelajari.</t>
  </si>
  <si>
    <t>JANGAN ASAL BUILD</t>
  </si>
  <si>
    <t>Subscribe untuk season berikutnya</t>
  </si>
  <si>
    <t>kesalahan vibe coding</t>
  </si>
  <si>
    <t>Supabase untuk non programmer</t>
  </si>
  <si>
    <t>Supabase untuk Vibe Coder: Database, Auth, RLS Tanpa Pusing</t>
  </si>
  <si>
    <t>SUPABASE GAMPANG</t>
  </si>
  <si>
    <t>supabase tutorial indonesia</t>
  </si>
  <si>
    <t>Later</t>
  </si>
  <si>
    <t>Apps Script + AI</t>
  </si>
  <si>
    <t>Google Apps Script + AI untuk Pemula: Dari Sheet Jadi Web App</t>
  </si>
  <si>
    <t>SHEET → WEB APP</t>
  </si>
  <si>
    <t>google apps script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</si>
</sst>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6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F5972"/>
        <bgColor rgb="FF0F5972"/>
      </patternFill>
    </fill>
    <fill>
      <patternFill patternType="solid">
        <fgColor rgb="FF1E7A47"/>
        <bgColor rgb="FF1E7A47"/>
      </patternFill>
    </fill>
    <fill>
      <patternFill patternType="solid">
        <fgColor rgb="FF1E8C9E"/>
        <bgColor rgb="FF1E8C9E"/>
      </patternFill>
    </fill>
    <fill>
      <patternFill patternType="solid">
        <fgColor rgb="FFEF7F14"/>
        <bgColor rgb="FFEF7F14"/>
      </patternFill>
    </fill>
    <fill>
      <patternFill patternType="solid">
        <fgColor rgb="FF7244B2"/>
        <bgColor rgb="FF7244B2"/>
      </patternFill>
    </fill>
    <fill>
      <patternFill patternType="solid">
        <fgColor rgb="FFD8CCF2"/>
        <bgColor rgb="FFD8CCF2"/>
      </patternFill>
    </fill>
    <fill>
      <patternFill patternType="solid">
        <fgColor rgb="FF333333"/>
        <bgColor rgb="FF333333"/>
      </patternFill>
    </fill>
    <fill>
      <patternFill patternType="solid">
        <fgColor rgb="FFBF2D2D"/>
        <bgColor rgb="FFBF2D2D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vertical="center"/>
    </xf>
    <xf borderId="0" fillId="3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horizontal="center"/>
    </xf>
    <xf quotePrefix="1"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5" fontId="1" numFmtId="0" xfId="0" applyAlignment="1" applyFill="1" applyFont="1">
      <alignment horizontal="center" shrinkToFit="0" wrapText="1"/>
    </xf>
    <xf borderId="0" fillId="0" fontId="3" numFmtId="0" xfId="0" applyFont="1"/>
    <xf borderId="0" fillId="6" fontId="1" numFmtId="0" xfId="0" applyAlignment="1" applyFill="1" applyFont="1">
      <alignment horizontal="center" shrinkToFit="0" wrapText="1"/>
    </xf>
    <xf borderId="0" fillId="7" fontId="4" numFmtId="0" xfId="0" applyFill="1" applyFont="1"/>
    <xf borderId="0" fillId="8" fontId="1" numFmtId="0" xfId="0" applyAlignment="1" applyFill="1" applyFont="1">
      <alignment horizontal="center"/>
    </xf>
    <xf borderId="0" fillId="9" fontId="1" numFmtId="0" xfId="0" applyAlignment="1" applyFill="1" applyFont="1">
      <alignment horizontal="center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4" width="16.38"/>
  </cols>
  <sheetData>
    <row r="1">
      <c r="A1" s="2" t="s">
        <v>2</v>
      </c>
    </row>
    <row r="2">
      <c r="A2" s="4" t="s">
        <v>14</v>
      </c>
    </row>
    <row r="4">
      <c r="A4" s="5" t="s">
        <v>20</v>
      </c>
      <c r="B4" s="5" t="s">
        <v>33</v>
      </c>
      <c r="C4" s="5" t="s">
        <v>35</v>
      </c>
      <c r="D4" s="5" t="s">
        <v>37</v>
      </c>
    </row>
    <row r="5">
      <c r="A5" s="4" t="s">
        <v>40</v>
      </c>
      <c r="B5" s="4">
        <v>770.0</v>
      </c>
      <c r="C5" s="4">
        <v>1000.0</v>
      </c>
      <c r="D5" s="8">
        <f t="shared" ref="D5:D7" si="1">B5/C5</f>
        <v>0.77</v>
      </c>
    </row>
    <row r="6">
      <c r="A6" s="4" t="s">
        <v>103</v>
      </c>
      <c r="B6" s="4">
        <v>266.0</v>
      </c>
      <c r="C6" s="4">
        <v>4000.0</v>
      </c>
      <c r="D6" s="8">
        <f t="shared" si="1"/>
        <v>0.0665</v>
      </c>
    </row>
    <row r="7">
      <c r="A7" s="4" t="s">
        <v>118</v>
      </c>
      <c r="B7" s="4">
        <v>286.0</v>
      </c>
      <c r="C7" s="4">
        <v>1.0E7</v>
      </c>
      <c r="D7" s="8">
        <f t="shared" si="1"/>
        <v>0.0000286</v>
      </c>
    </row>
    <row r="9">
      <c r="A9" s="5" t="s">
        <v>139</v>
      </c>
      <c r="B9" s="5" t="s">
        <v>142</v>
      </c>
      <c r="C9" s="5" t="s">
        <v>144</v>
      </c>
      <c r="D9" s="5" t="s">
        <v>13</v>
      </c>
    </row>
    <row r="10">
      <c r="A10" s="4" t="s">
        <v>151</v>
      </c>
      <c r="B10" s="10">
        <f>COUNTIFS('Content Pipeline'!C2:C120,"Long-form",'Content Pipeline'!K2:K120,"Published")</f>
        <v>0</v>
      </c>
      <c r="C10" s="4">
        <v>26.0</v>
      </c>
      <c r="D10" s="10" t="str">
        <f t="shared" ref="D10:D12" si="2">IF(B10&gt;=C10,"ON TRACK","PERLU GAS")</f>
        <v>PERLU GAS</v>
      </c>
    </row>
    <row r="11">
      <c r="A11" s="4" t="s">
        <v>200</v>
      </c>
      <c r="B11" s="10">
        <f>COUNTIFS('Content Pipeline'!C2:C120,"Live",'Content Pipeline'!K2:K120,"Published")</f>
        <v>0</v>
      </c>
      <c r="C11" s="4">
        <v>13.0</v>
      </c>
      <c r="D11" s="10" t="str">
        <f t="shared" si="2"/>
        <v>PERLU GAS</v>
      </c>
    </row>
    <row r="12">
      <c r="A12" s="4" t="s">
        <v>212</v>
      </c>
      <c r="B12" s="10">
        <f>SUM('Content Pipeline'!P2:P120)</f>
        <v>0</v>
      </c>
      <c r="C12" s="4">
        <v>26.0</v>
      </c>
      <c r="D12" s="10" t="str">
        <f t="shared" si="2"/>
        <v>PERLU GAS</v>
      </c>
    </row>
    <row r="13">
      <c r="A13" s="4" t="s">
        <v>218</v>
      </c>
      <c r="B13" s="10">
        <f>IFERROR(__xludf.DUMMYFUNCTION("IFERROR(AVERAGE(FILTER('KPI Tracker'!J3:J15,'KPI Tracker'!J3:J15&lt;&gt;""""))*4.33,0)"),0.0)</f>
        <v>0</v>
      </c>
      <c r="C13" s="4">
        <v>600.0</v>
      </c>
      <c r="D13" s="10" t="str">
        <f>IF(B13&gt;=C13,"ON TRACK","BELUM")</f>
        <v>BELUM</v>
      </c>
    </row>
    <row r="15">
      <c r="A15" s="4" t="s">
        <v>234</v>
      </c>
    </row>
    <row r="16">
      <c r="A16" s="4" t="s">
        <v>240</v>
      </c>
    </row>
    <row r="17">
      <c r="A17" s="4" t="s">
        <v>241</v>
      </c>
    </row>
    <row r="18">
      <c r="A18" s="4" t="s">
        <v>243</v>
      </c>
    </row>
    <row r="19">
      <c r="A19" s="4" t="s">
        <v>245</v>
      </c>
    </row>
    <row r="20">
      <c r="A20" s="4" t="s">
        <v>248</v>
      </c>
    </row>
    <row r="22">
      <c r="A22" s="4" t="s">
        <v>250</v>
      </c>
    </row>
    <row r="23">
      <c r="A23" s="4" t="s">
        <v>251</v>
      </c>
      <c r="B23" s="4" t="s">
        <v>252</v>
      </c>
    </row>
    <row r="24">
      <c r="A24" s="4" t="s">
        <v>254</v>
      </c>
      <c r="B24" s="4" t="s">
        <v>256</v>
      </c>
    </row>
    <row r="25">
      <c r="A25" s="4" t="s">
        <v>259</v>
      </c>
      <c r="B25" s="4" t="s">
        <v>261</v>
      </c>
    </row>
    <row r="26">
      <c r="A26" s="4" t="s">
        <v>262</v>
      </c>
      <c r="B26" s="4" t="s">
        <v>263</v>
      </c>
    </row>
  </sheetData>
  <mergeCells count="4">
    <mergeCell ref="A1:H1"/>
    <mergeCell ref="A2:H2"/>
    <mergeCell ref="A15:H15"/>
    <mergeCell ref="A22:H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8CB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9" width="32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4">
        <v>1.0</v>
      </c>
      <c r="B2" s="4" t="s">
        <v>16</v>
      </c>
      <c r="C2" s="4" t="s">
        <v>18</v>
      </c>
      <c r="D2" s="4" t="s">
        <v>21</v>
      </c>
      <c r="E2" s="4" t="s">
        <v>23</v>
      </c>
      <c r="F2" s="4" t="s">
        <v>25</v>
      </c>
      <c r="G2" s="4" t="s">
        <v>27</v>
      </c>
      <c r="H2" s="4" t="s">
        <v>28</v>
      </c>
      <c r="I2" s="4">
        <v>2.0</v>
      </c>
      <c r="J2" s="4">
        <v>25.0</v>
      </c>
      <c r="K2" s="4" t="s">
        <v>31</v>
      </c>
      <c r="L2" s="4" t="s">
        <v>42</v>
      </c>
    </row>
    <row r="3">
      <c r="A3" s="4">
        <v>2.0</v>
      </c>
      <c r="B3" s="4" t="s">
        <v>44</v>
      </c>
      <c r="C3" s="4" t="s">
        <v>45</v>
      </c>
      <c r="D3" s="4" t="s">
        <v>21</v>
      </c>
      <c r="E3" s="4" t="s">
        <v>47</v>
      </c>
      <c r="F3" s="4" t="s">
        <v>48</v>
      </c>
      <c r="G3" s="4" t="s">
        <v>50</v>
      </c>
      <c r="H3" s="4" t="s">
        <v>51</v>
      </c>
      <c r="I3" s="4">
        <v>2.0</v>
      </c>
      <c r="J3" s="4">
        <v>30.0</v>
      </c>
      <c r="K3" s="4" t="s">
        <v>54</v>
      </c>
      <c r="L3" s="4" t="s">
        <v>42</v>
      </c>
    </row>
    <row r="4">
      <c r="A4" s="4">
        <v>3.0</v>
      </c>
      <c r="B4" s="4" t="s">
        <v>59</v>
      </c>
      <c r="C4" s="6" t="s">
        <v>60</v>
      </c>
      <c r="D4" s="4" t="s">
        <v>21</v>
      </c>
      <c r="E4" s="4" t="s">
        <v>61</v>
      </c>
      <c r="F4" s="4" t="s">
        <v>63</v>
      </c>
      <c r="G4" s="4" t="s">
        <v>64</v>
      </c>
      <c r="H4" s="4" t="s">
        <v>65</v>
      </c>
      <c r="I4" s="4">
        <v>2.0</v>
      </c>
      <c r="J4" s="4">
        <v>35.0</v>
      </c>
      <c r="K4" s="4" t="s">
        <v>66</v>
      </c>
      <c r="L4" s="4" t="s">
        <v>42</v>
      </c>
    </row>
    <row r="5">
      <c r="A5" s="4">
        <v>4.0</v>
      </c>
      <c r="B5" s="6" t="s">
        <v>67</v>
      </c>
      <c r="C5" s="4" t="s">
        <v>68</v>
      </c>
      <c r="D5" s="4" t="s">
        <v>21</v>
      </c>
      <c r="E5" s="4" t="s">
        <v>69</v>
      </c>
      <c r="F5" s="4" t="s">
        <v>70</v>
      </c>
      <c r="G5" s="4" t="s">
        <v>71</v>
      </c>
      <c r="H5" s="4" t="s">
        <v>72</v>
      </c>
      <c r="I5" s="4">
        <v>2.0</v>
      </c>
      <c r="J5" s="4">
        <v>40.0</v>
      </c>
      <c r="K5" s="4" t="s">
        <v>73</v>
      </c>
      <c r="L5" s="4" t="s">
        <v>42</v>
      </c>
    </row>
    <row r="6">
      <c r="A6" s="4">
        <v>5.0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79</v>
      </c>
      <c r="H6" s="4" t="s">
        <v>81</v>
      </c>
      <c r="I6" s="4">
        <v>2.0</v>
      </c>
      <c r="J6" s="4">
        <v>50.0</v>
      </c>
      <c r="K6" s="4" t="s">
        <v>82</v>
      </c>
      <c r="L6" s="4" t="s">
        <v>42</v>
      </c>
    </row>
    <row r="7">
      <c r="A7" s="4">
        <v>6.0</v>
      </c>
      <c r="B7" s="4" t="s">
        <v>85</v>
      </c>
      <c r="C7" s="4" t="s">
        <v>86</v>
      </c>
      <c r="D7" s="4" t="s">
        <v>76</v>
      </c>
      <c r="E7" s="4" t="s">
        <v>89</v>
      </c>
      <c r="F7" s="4" t="s">
        <v>90</v>
      </c>
      <c r="G7" s="4" t="s">
        <v>92</v>
      </c>
      <c r="H7" s="4" t="s">
        <v>93</v>
      </c>
      <c r="I7" s="4">
        <v>2.0</v>
      </c>
      <c r="J7" s="4">
        <v>60.0</v>
      </c>
      <c r="K7" s="4" t="s">
        <v>94</v>
      </c>
      <c r="L7" s="4" t="s">
        <v>42</v>
      </c>
    </row>
    <row r="8">
      <c r="A8" s="4">
        <v>7.0</v>
      </c>
      <c r="B8" s="4" t="s">
        <v>95</v>
      </c>
      <c r="C8" s="6" t="s">
        <v>96</v>
      </c>
      <c r="D8" s="4" t="s">
        <v>76</v>
      </c>
      <c r="E8" s="4" t="s">
        <v>98</v>
      </c>
      <c r="F8" s="4" t="s">
        <v>99</v>
      </c>
      <c r="G8" s="4" t="s">
        <v>101</v>
      </c>
      <c r="H8" s="4" t="s">
        <v>102</v>
      </c>
      <c r="I8" s="4">
        <v>2.0</v>
      </c>
      <c r="J8" s="4">
        <v>70.0</v>
      </c>
      <c r="K8" s="4" t="s">
        <v>104</v>
      </c>
      <c r="L8" s="4" t="s">
        <v>42</v>
      </c>
    </row>
    <row r="9">
      <c r="A9" s="4">
        <v>8.0</v>
      </c>
      <c r="B9" s="6" t="s">
        <v>108</v>
      </c>
      <c r="C9" s="6" t="s">
        <v>109</v>
      </c>
      <c r="D9" s="4" t="s">
        <v>76</v>
      </c>
      <c r="E9" s="4" t="s">
        <v>111</v>
      </c>
      <c r="F9" s="4" t="s">
        <v>113</v>
      </c>
      <c r="G9" s="4" t="s">
        <v>114</v>
      </c>
      <c r="H9" s="4" t="s">
        <v>115</v>
      </c>
      <c r="I9" s="4">
        <v>2.0</v>
      </c>
      <c r="J9" s="4">
        <v>80.0</v>
      </c>
      <c r="K9" s="4" t="s">
        <v>117</v>
      </c>
      <c r="L9" s="4" t="s">
        <v>42</v>
      </c>
    </row>
    <row r="10">
      <c r="A10" s="4">
        <v>9.0</v>
      </c>
      <c r="B10" s="6" t="s">
        <v>120</v>
      </c>
      <c r="C10" s="4" t="s">
        <v>121</v>
      </c>
      <c r="D10" s="4" t="s">
        <v>122</v>
      </c>
      <c r="E10" s="4" t="s">
        <v>125</v>
      </c>
      <c r="F10" s="4" t="s">
        <v>126</v>
      </c>
      <c r="G10" s="4" t="s">
        <v>127</v>
      </c>
      <c r="H10" s="4" t="s">
        <v>129</v>
      </c>
      <c r="I10" s="4">
        <v>2.0</v>
      </c>
      <c r="J10" s="4">
        <v>95.0</v>
      </c>
      <c r="K10" s="4" t="s">
        <v>131</v>
      </c>
      <c r="L10" s="4" t="s">
        <v>42</v>
      </c>
    </row>
    <row r="11">
      <c r="A11" s="4">
        <v>10.0</v>
      </c>
      <c r="B11" s="4" t="s">
        <v>137</v>
      </c>
      <c r="C11" s="4" t="s">
        <v>141</v>
      </c>
      <c r="D11" s="4" t="s">
        <v>122</v>
      </c>
      <c r="E11" s="4" t="s">
        <v>146</v>
      </c>
      <c r="F11" s="4" t="s">
        <v>147</v>
      </c>
      <c r="G11" s="4" t="s">
        <v>149</v>
      </c>
      <c r="H11" s="4" t="s">
        <v>150</v>
      </c>
      <c r="I11" s="4">
        <v>2.0</v>
      </c>
      <c r="J11" s="4">
        <v>110.0</v>
      </c>
      <c r="K11" s="4" t="s">
        <v>154</v>
      </c>
      <c r="L11" s="4" t="s">
        <v>42</v>
      </c>
    </row>
    <row r="12">
      <c r="A12" s="4">
        <v>11.0</v>
      </c>
      <c r="B12" s="4" t="s">
        <v>158</v>
      </c>
      <c r="C12" s="6" t="s">
        <v>159</v>
      </c>
      <c r="D12" s="4" t="s">
        <v>122</v>
      </c>
      <c r="E12" s="4" t="s">
        <v>160</v>
      </c>
      <c r="F12" s="4" t="s">
        <v>162</v>
      </c>
      <c r="G12" s="4" t="s">
        <v>163</v>
      </c>
      <c r="H12" s="4" t="s">
        <v>165</v>
      </c>
      <c r="I12" s="4">
        <v>2.0</v>
      </c>
      <c r="J12" s="4">
        <v>125.0</v>
      </c>
      <c r="K12" s="4" t="s">
        <v>167</v>
      </c>
      <c r="L12" s="4" t="s">
        <v>42</v>
      </c>
    </row>
    <row r="13">
      <c r="A13" s="4">
        <v>12.0</v>
      </c>
      <c r="B13" s="6" t="s">
        <v>171</v>
      </c>
      <c r="C13" s="6" t="s">
        <v>172</v>
      </c>
      <c r="D13" s="4" t="s">
        <v>122</v>
      </c>
      <c r="E13" s="4" t="s">
        <v>173</v>
      </c>
      <c r="F13" s="4" t="s">
        <v>174</v>
      </c>
      <c r="G13" s="4" t="s">
        <v>175</v>
      </c>
      <c r="H13" s="4" t="s">
        <v>176</v>
      </c>
      <c r="I13" s="4">
        <v>2.0</v>
      </c>
      <c r="J13" s="4">
        <v>140.0</v>
      </c>
      <c r="K13" s="4" t="s">
        <v>177</v>
      </c>
      <c r="L13" s="4" t="s">
        <v>42</v>
      </c>
    </row>
    <row r="14">
      <c r="A14" s="4">
        <v>13.0</v>
      </c>
      <c r="B14" s="6" t="s">
        <v>179</v>
      </c>
      <c r="C14" s="4" t="s">
        <v>180</v>
      </c>
      <c r="D14" s="4" t="s">
        <v>122</v>
      </c>
      <c r="E14" s="4" t="s">
        <v>181</v>
      </c>
      <c r="F14" s="4" t="s">
        <v>183</v>
      </c>
      <c r="G14" s="4" t="s">
        <v>185</v>
      </c>
      <c r="H14" s="4" t="s">
        <v>187</v>
      </c>
      <c r="I14" s="4">
        <v>2.0</v>
      </c>
      <c r="J14" s="4">
        <v>160.0</v>
      </c>
      <c r="K14" s="4" t="s">
        <v>189</v>
      </c>
      <c r="L14" s="4" t="s">
        <v>42</v>
      </c>
    </row>
    <row r="15">
      <c r="L15" s="10"/>
    </row>
    <row r="16">
      <c r="L16" s="10"/>
    </row>
    <row r="17">
      <c r="L17" s="10"/>
    </row>
    <row r="18">
      <c r="L18" s="10"/>
    </row>
    <row r="19">
      <c r="L19" s="10"/>
    </row>
    <row r="20">
      <c r="L20" s="10"/>
    </row>
    <row r="21">
      <c r="L21" s="10"/>
    </row>
    <row r="22">
      <c r="L22" s="10"/>
    </row>
    <row r="23">
      <c r="L23" s="10"/>
    </row>
    <row r="24">
      <c r="L24" s="10"/>
    </row>
    <row r="25">
      <c r="L25" s="10"/>
    </row>
    <row r="26">
      <c r="L26" s="10"/>
    </row>
    <row r="27">
      <c r="L27" s="10"/>
    </row>
    <row r="28">
      <c r="L28" s="10"/>
    </row>
    <row r="29">
      <c r="L29" s="10"/>
    </row>
    <row r="30">
      <c r="L30" s="10"/>
    </row>
    <row r="31">
      <c r="L31" s="10"/>
    </row>
    <row r="32">
      <c r="L32" s="10"/>
    </row>
    <row r="33">
      <c r="L33" s="10"/>
    </row>
    <row r="34">
      <c r="L34" s="10"/>
    </row>
    <row r="35">
      <c r="L35" s="10"/>
    </row>
    <row r="36">
      <c r="L36" s="10"/>
    </row>
    <row r="37">
      <c r="L37" s="10"/>
    </row>
    <row r="38">
      <c r="L38" s="10"/>
    </row>
    <row r="39">
      <c r="L39" s="10"/>
    </row>
    <row r="40">
      <c r="L40" s="10"/>
    </row>
  </sheetData>
  <dataValidations>
    <dataValidation type="list" allowBlank="1" showErrorMessage="1" sqref="L2:L40">
      <formula1>"Planned,In Progress,Done,Skipped"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A559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6" max="6" width="45.5"/>
    <col customWidth="1" min="7" max="9" width="37.63"/>
    <col customWidth="1" min="17" max="18" width="30.13"/>
  </cols>
  <sheetData>
    <row r="1">
      <c r="A1" s="3" t="s">
        <v>1</v>
      </c>
      <c r="B1" s="3" t="s">
        <v>0</v>
      </c>
      <c r="C1" s="3" t="s">
        <v>15</v>
      </c>
      <c r="D1" s="3" t="s">
        <v>17</v>
      </c>
      <c r="E1" s="3" t="s">
        <v>19</v>
      </c>
      <c r="F1" s="3" t="s">
        <v>22</v>
      </c>
      <c r="G1" s="3" t="s">
        <v>24</v>
      </c>
      <c r="H1" s="3" t="s">
        <v>26</v>
      </c>
      <c r="I1" s="3" t="s">
        <v>29</v>
      </c>
      <c r="J1" s="3" t="s">
        <v>30</v>
      </c>
      <c r="K1" s="3" t="s">
        <v>13</v>
      </c>
      <c r="L1" s="3" t="s">
        <v>32</v>
      </c>
      <c r="M1" s="3" t="s">
        <v>34</v>
      </c>
      <c r="N1" s="3" t="s">
        <v>36</v>
      </c>
      <c r="O1" s="3" t="s">
        <v>38</v>
      </c>
      <c r="P1" s="3" t="s">
        <v>39</v>
      </c>
      <c r="Q1" s="3" t="s">
        <v>41</v>
      </c>
      <c r="R1" s="3" t="s">
        <v>43</v>
      </c>
    </row>
    <row r="2">
      <c r="A2" s="4" t="s">
        <v>46</v>
      </c>
      <c r="B2" s="4">
        <v>1.0</v>
      </c>
      <c r="C2" s="4" t="s">
        <v>49</v>
      </c>
      <c r="D2" s="4" t="s">
        <v>52</v>
      </c>
      <c r="E2" s="4" t="s">
        <v>53</v>
      </c>
      <c r="F2" s="4" t="s">
        <v>25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42</v>
      </c>
      <c r="L2" s="4" t="s">
        <v>62</v>
      </c>
      <c r="M2" s="4" t="s">
        <v>62</v>
      </c>
      <c r="N2" s="7" t="s">
        <v>62</v>
      </c>
      <c r="O2" s="4" t="s">
        <v>62</v>
      </c>
      <c r="P2" s="4">
        <v>0.0</v>
      </c>
    </row>
    <row r="3">
      <c r="A3" s="4" t="s">
        <v>80</v>
      </c>
      <c r="B3" s="4">
        <v>1.0</v>
      </c>
      <c r="C3" s="4" t="s">
        <v>49</v>
      </c>
      <c r="D3" s="4" t="s">
        <v>83</v>
      </c>
      <c r="E3" s="4" t="s">
        <v>84</v>
      </c>
      <c r="F3" s="4" t="s">
        <v>27</v>
      </c>
      <c r="G3" s="4" t="s">
        <v>87</v>
      </c>
      <c r="H3" s="4" t="s">
        <v>88</v>
      </c>
      <c r="I3" s="4" t="s">
        <v>91</v>
      </c>
      <c r="J3" s="4" t="s">
        <v>58</v>
      </c>
      <c r="K3" s="4" t="s">
        <v>42</v>
      </c>
      <c r="L3" s="4" t="s">
        <v>62</v>
      </c>
      <c r="M3" s="4" t="s">
        <v>62</v>
      </c>
      <c r="N3" s="7" t="s">
        <v>62</v>
      </c>
      <c r="O3" s="4" t="s">
        <v>62</v>
      </c>
      <c r="P3" s="4">
        <v>0.0</v>
      </c>
    </row>
    <row r="4">
      <c r="A4" s="4" t="s">
        <v>97</v>
      </c>
      <c r="B4" s="4">
        <v>1.0</v>
      </c>
      <c r="C4" s="4" t="s">
        <v>100</v>
      </c>
      <c r="D4" s="4" t="s">
        <v>18</v>
      </c>
      <c r="E4" s="4" t="s">
        <v>84</v>
      </c>
      <c r="F4" s="4" t="s">
        <v>105</v>
      </c>
      <c r="G4" s="4" t="s">
        <v>106</v>
      </c>
      <c r="H4" s="4" t="s">
        <v>107</v>
      </c>
      <c r="I4" s="4" t="s">
        <v>110</v>
      </c>
      <c r="J4" s="4" t="s">
        <v>58</v>
      </c>
      <c r="K4" s="4" t="s">
        <v>42</v>
      </c>
      <c r="L4" s="4" t="s">
        <v>62</v>
      </c>
      <c r="M4" s="4" t="s">
        <v>62</v>
      </c>
      <c r="N4" s="7" t="s">
        <v>62</v>
      </c>
      <c r="O4" s="4" t="s">
        <v>62</v>
      </c>
      <c r="P4" s="4">
        <v>0.0</v>
      </c>
    </row>
    <row r="5">
      <c r="A5" s="4" t="s">
        <v>123</v>
      </c>
      <c r="B5" s="4">
        <v>2.0</v>
      </c>
      <c r="C5" s="4" t="s">
        <v>49</v>
      </c>
      <c r="D5" s="4" t="s">
        <v>130</v>
      </c>
      <c r="E5" s="4" t="s">
        <v>53</v>
      </c>
      <c r="F5" s="4" t="s">
        <v>48</v>
      </c>
      <c r="G5" s="4" t="s">
        <v>133</v>
      </c>
      <c r="H5" s="4" t="s">
        <v>135</v>
      </c>
      <c r="I5" s="4" t="s">
        <v>138</v>
      </c>
      <c r="J5" s="4" t="s">
        <v>58</v>
      </c>
      <c r="K5" s="4" t="s">
        <v>42</v>
      </c>
      <c r="L5" s="4" t="s">
        <v>62</v>
      </c>
      <c r="M5" s="4" t="s">
        <v>62</v>
      </c>
      <c r="N5" s="7" t="s">
        <v>62</v>
      </c>
      <c r="O5" s="4" t="s">
        <v>62</v>
      </c>
      <c r="P5" s="4">
        <v>0.0</v>
      </c>
    </row>
    <row r="6">
      <c r="A6" s="4" t="s">
        <v>157</v>
      </c>
      <c r="B6" s="4">
        <v>2.0</v>
      </c>
      <c r="C6" s="4" t="s">
        <v>49</v>
      </c>
      <c r="D6" s="4" t="s">
        <v>161</v>
      </c>
      <c r="E6" s="4" t="s">
        <v>84</v>
      </c>
      <c r="F6" s="4" t="s">
        <v>50</v>
      </c>
      <c r="G6" s="4" t="s">
        <v>166</v>
      </c>
      <c r="H6" s="4" t="s">
        <v>168</v>
      </c>
      <c r="I6" s="4" t="s">
        <v>169</v>
      </c>
      <c r="J6" s="4" t="s">
        <v>170</v>
      </c>
      <c r="K6" s="4" t="s">
        <v>42</v>
      </c>
      <c r="L6" s="4" t="s">
        <v>62</v>
      </c>
      <c r="M6" s="4" t="s">
        <v>62</v>
      </c>
      <c r="N6" s="7" t="s">
        <v>62</v>
      </c>
      <c r="O6" s="4" t="s">
        <v>62</v>
      </c>
      <c r="P6" s="4">
        <v>0.0</v>
      </c>
    </row>
    <row r="7">
      <c r="A7" s="4" t="s">
        <v>178</v>
      </c>
      <c r="B7" s="4">
        <v>2.0</v>
      </c>
      <c r="C7" s="4" t="s">
        <v>100</v>
      </c>
      <c r="D7" s="4" t="s">
        <v>45</v>
      </c>
      <c r="E7" s="4" t="s">
        <v>84</v>
      </c>
      <c r="F7" s="4" t="s">
        <v>182</v>
      </c>
      <c r="G7" s="4" t="s">
        <v>184</v>
      </c>
      <c r="H7" s="4" t="s">
        <v>186</v>
      </c>
      <c r="I7" s="4" t="s">
        <v>188</v>
      </c>
      <c r="J7" s="4" t="s">
        <v>58</v>
      </c>
      <c r="K7" s="4" t="s">
        <v>42</v>
      </c>
      <c r="L7" s="4" t="s">
        <v>62</v>
      </c>
      <c r="M7" s="4" t="s">
        <v>62</v>
      </c>
      <c r="N7" s="7" t="s">
        <v>62</v>
      </c>
      <c r="O7" s="4" t="s">
        <v>62</v>
      </c>
      <c r="P7" s="4">
        <v>0.0</v>
      </c>
    </row>
    <row r="8">
      <c r="A8" s="4" t="s">
        <v>190</v>
      </c>
      <c r="B8" s="4">
        <v>3.0</v>
      </c>
      <c r="C8" s="4" t="s">
        <v>49</v>
      </c>
      <c r="D8" s="6" t="s">
        <v>191</v>
      </c>
      <c r="E8" s="4" t="s">
        <v>53</v>
      </c>
      <c r="F8" s="4" t="s">
        <v>63</v>
      </c>
      <c r="G8" s="4" t="s">
        <v>192</v>
      </c>
      <c r="H8" s="4" t="s">
        <v>193</v>
      </c>
      <c r="I8" s="4" t="s">
        <v>194</v>
      </c>
      <c r="J8" s="4" t="s">
        <v>58</v>
      </c>
      <c r="K8" s="4" t="s">
        <v>42</v>
      </c>
      <c r="L8" s="4" t="s">
        <v>62</v>
      </c>
      <c r="M8" s="4" t="s">
        <v>62</v>
      </c>
      <c r="N8" s="7" t="s">
        <v>62</v>
      </c>
      <c r="O8" s="4" t="s">
        <v>62</v>
      </c>
      <c r="P8" s="4">
        <v>0.0</v>
      </c>
    </row>
    <row r="9">
      <c r="A9" s="4" t="s">
        <v>195</v>
      </c>
      <c r="B9" s="4">
        <v>3.0</v>
      </c>
      <c r="C9" s="4" t="s">
        <v>49</v>
      </c>
      <c r="D9" s="6" t="s">
        <v>196</v>
      </c>
      <c r="E9" s="4" t="s">
        <v>53</v>
      </c>
      <c r="F9" s="4" t="s">
        <v>64</v>
      </c>
      <c r="G9" s="4" t="s">
        <v>197</v>
      </c>
      <c r="H9" s="4" t="s">
        <v>198</v>
      </c>
      <c r="I9" s="4" t="s">
        <v>199</v>
      </c>
      <c r="J9" s="4" t="s">
        <v>170</v>
      </c>
      <c r="K9" s="4" t="s">
        <v>42</v>
      </c>
      <c r="L9" s="4" t="s">
        <v>62</v>
      </c>
      <c r="M9" s="4" t="s">
        <v>62</v>
      </c>
      <c r="N9" s="7" t="s">
        <v>62</v>
      </c>
      <c r="O9" s="4" t="s">
        <v>62</v>
      </c>
      <c r="P9" s="4">
        <v>0.0</v>
      </c>
    </row>
    <row r="10">
      <c r="A10" s="4" t="s">
        <v>201</v>
      </c>
      <c r="B10" s="4">
        <v>3.0</v>
      </c>
      <c r="C10" s="4" t="s">
        <v>100</v>
      </c>
      <c r="D10" s="6" t="s">
        <v>60</v>
      </c>
      <c r="E10" s="4" t="s">
        <v>202</v>
      </c>
      <c r="F10" s="4" t="s">
        <v>203</v>
      </c>
      <c r="G10" s="4" t="s">
        <v>204</v>
      </c>
      <c r="H10" s="4" t="s">
        <v>205</v>
      </c>
      <c r="I10" s="4" t="s">
        <v>206</v>
      </c>
      <c r="J10" s="4" t="s">
        <v>170</v>
      </c>
      <c r="K10" s="4" t="s">
        <v>42</v>
      </c>
      <c r="L10" s="4" t="s">
        <v>62</v>
      </c>
      <c r="M10" s="4" t="s">
        <v>62</v>
      </c>
      <c r="N10" s="7" t="s">
        <v>62</v>
      </c>
      <c r="O10" s="4" t="s">
        <v>62</v>
      </c>
      <c r="P10" s="4">
        <v>0.0</v>
      </c>
    </row>
    <row r="11">
      <c r="A11" s="4" t="s">
        <v>207</v>
      </c>
      <c r="B11" s="4">
        <v>4.0</v>
      </c>
      <c r="C11" s="4" t="s">
        <v>49</v>
      </c>
      <c r="D11" s="6" t="s">
        <v>208</v>
      </c>
      <c r="E11" s="4" t="s">
        <v>84</v>
      </c>
      <c r="F11" s="4" t="s">
        <v>70</v>
      </c>
      <c r="G11" s="4" t="s">
        <v>209</v>
      </c>
      <c r="H11" s="4" t="s">
        <v>210</v>
      </c>
      <c r="I11" s="4" t="s">
        <v>211</v>
      </c>
      <c r="J11" s="4" t="s">
        <v>58</v>
      </c>
      <c r="K11" s="4" t="s">
        <v>42</v>
      </c>
      <c r="L11" s="4" t="s">
        <v>62</v>
      </c>
      <c r="M11" s="4" t="s">
        <v>62</v>
      </c>
      <c r="N11" s="7" t="s">
        <v>62</v>
      </c>
      <c r="O11" s="4" t="s">
        <v>62</v>
      </c>
      <c r="P11" s="4">
        <v>0.0</v>
      </c>
    </row>
    <row r="12">
      <c r="A12" s="4" t="s">
        <v>213</v>
      </c>
      <c r="B12" s="4">
        <v>4.0</v>
      </c>
      <c r="C12" s="4" t="s">
        <v>49</v>
      </c>
      <c r="D12" s="6" t="s">
        <v>214</v>
      </c>
      <c r="E12" s="4" t="s">
        <v>53</v>
      </c>
      <c r="F12" s="4" t="s">
        <v>71</v>
      </c>
      <c r="G12" s="4" t="s">
        <v>215</v>
      </c>
      <c r="H12" s="4" t="s">
        <v>216</v>
      </c>
      <c r="I12" s="4" t="s">
        <v>217</v>
      </c>
      <c r="J12" s="4" t="s">
        <v>58</v>
      </c>
      <c r="K12" s="4" t="s">
        <v>42</v>
      </c>
      <c r="L12" s="4" t="s">
        <v>62</v>
      </c>
      <c r="M12" s="4" t="s">
        <v>62</v>
      </c>
      <c r="N12" s="7" t="s">
        <v>62</v>
      </c>
      <c r="O12" s="4" t="s">
        <v>62</v>
      </c>
      <c r="P12" s="4">
        <v>0.0</v>
      </c>
    </row>
    <row r="13">
      <c r="A13" s="4" t="s">
        <v>219</v>
      </c>
      <c r="B13" s="4">
        <v>4.0</v>
      </c>
      <c r="C13" s="4" t="s">
        <v>100</v>
      </c>
      <c r="D13" s="4" t="s">
        <v>68</v>
      </c>
      <c r="E13" s="4" t="s">
        <v>84</v>
      </c>
      <c r="F13" s="4" t="s">
        <v>220</v>
      </c>
      <c r="G13" s="4" t="s">
        <v>221</v>
      </c>
      <c r="H13" s="4" t="s">
        <v>222</v>
      </c>
      <c r="I13" s="4" t="s">
        <v>223</v>
      </c>
      <c r="J13" s="4" t="s">
        <v>58</v>
      </c>
      <c r="K13" s="4" t="s">
        <v>42</v>
      </c>
      <c r="L13" s="4" t="s">
        <v>62</v>
      </c>
      <c r="M13" s="4" t="s">
        <v>62</v>
      </c>
      <c r="N13" s="7" t="s">
        <v>62</v>
      </c>
      <c r="O13" s="4" t="s">
        <v>62</v>
      </c>
      <c r="P13" s="4">
        <v>0.0</v>
      </c>
    </row>
    <row r="14">
      <c r="A14" s="4" t="s">
        <v>224</v>
      </c>
      <c r="B14" s="4">
        <v>5.0</v>
      </c>
      <c r="C14" s="4" t="s">
        <v>49</v>
      </c>
      <c r="D14" s="4" t="s">
        <v>225</v>
      </c>
      <c r="E14" s="4" t="s">
        <v>84</v>
      </c>
      <c r="F14" s="4" t="s">
        <v>78</v>
      </c>
      <c r="G14" s="4" t="s">
        <v>226</v>
      </c>
      <c r="H14" s="4" t="s">
        <v>227</v>
      </c>
      <c r="I14" s="4" t="s">
        <v>228</v>
      </c>
      <c r="J14" s="4" t="s">
        <v>58</v>
      </c>
      <c r="K14" s="4" t="s">
        <v>42</v>
      </c>
      <c r="L14" s="4" t="s">
        <v>62</v>
      </c>
      <c r="M14" s="4" t="s">
        <v>62</v>
      </c>
      <c r="N14" s="7" t="s">
        <v>62</v>
      </c>
      <c r="O14" s="4" t="s">
        <v>62</v>
      </c>
      <c r="P14" s="4">
        <v>0.0</v>
      </c>
    </row>
    <row r="15">
      <c r="A15" s="4" t="s">
        <v>229</v>
      </c>
      <c r="B15" s="4">
        <v>5.0</v>
      </c>
      <c r="C15" s="4" t="s">
        <v>49</v>
      </c>
      <c r="D15" s="4" t="s">
        <v>230</v>
      </c>
      <c r="E15" s="4" t="s">
        <v>53</v>
      </c>
      <c r="F15" s="4" t="s">
        <v>79</v>
      </c>
      <c r="G15" s="4" t="s">
        <v>231</v>
      </c>
      <c r="H15" s="4" t="s">
        <v>232</v>
      </c>
      <c r="I15" s="4" t="s">
        <v>233</v>
      </c>
      <c r="J15" s="4" t="s">
        <v>58</v>
      </c>
      <c r="K15" s="4" t="s">
        <v>42</v>
      </c>
      <c r="L15" s="4" t="s">
        <v>62</v>
      </c>
      <c r="M15" s="4" t="s">
        <v>62</v>
      </c>
      <c r="N15" s="7" t="s">
        <v>62</v>
      </c>
      <c r="O15" s="4" t="s">
        <v>62</v>
      </c>
      <c r="P15" s="4">
        <v>0.0</v>
      </c>
    </row>
    <row r="16">
      <c r="A16" s="4" t="s">
        <v>235</v>
      </c>
      <c r="B16" s="4">
        <v>5.0</v>
      </c>
      <c r="C16" s="4" t="s">
        <v>100</v>
      </c>
      <c r="D16" s="4" t="s">
        <v>75</v>
      </c>
      <c r="E16" s="4" t="s">
        <v>84</v>
      </c>
      <c r="F16" s="4" t="s">
        <v>236</v>
      </c>
      <c r="G16" s="4" t="s">
        <v>237</v>
      </c>
      <c r="H16" s="4" t="s">
        <v>238</v>
      </c>
      <c r="I16" s="4" t="s">
        <v>239</v>
      </c>
      <c r="J16" s="4" t="s">
        <v>58</v>
      </c>
      <c r="K16" s="4" t="s">
        <v>42</v>
      </c>
      <c r="L16" s="4" t="s">
        <v>62</v>
      </c>
      <c r="M16" s="4" t="s">
        <v>62</v>
      </c>
      <c r="N16" s="7" t="s">
        <v>62</v>
      </c>
      <c r="O16" s="4" t="s">
        <v>62</v>
      </c>
      <c r="P16" s="4">
        <v>0.0</v>
      </c>
    </row>
    <row r="17">
      <c r="A17" s="4" t="s">
        <v>242</v>
      </c>
      <c r="B17" s="4">
        <v>6.0</v>
      </c>
      <c r="C17" s="4" t="s">
        <v>49</v>
      </c>
      <c r="D17" s="4" t="s">
        <v>244</v>
      </c>
      <c r="E17" s="4" t="s">
        <v>53</v>
      </c>
      <c r="F17" s="4" t="s">
        <v>90</v>
      </c>
      <c r="G17" s="4" t="s">
        <v>246</v>
      </c>
      <c r="H17" s="4" t="s">
        <v>247</v>
      </c>
      <c r="I17" s="4" t="s">
        <v>249</v>
      </c>
      <c r="J17" s="4" t="s">
        <v>58</v>
      </c>
      <c r="K17" s="4" t="s">
        <v>42</v>
      </c>
      <c r="L17" s="4" t="s">
        <v>62</v>
      </c>
      <c r="M17" s="4" t="s">
        <v>62</v>
      </c>
      <c r="N17" s="7" t="s">
        <v>62</v>
      </c>
      <c r="O17" s="4" t="s">
        <v>62</v>
      </c>
      <c r="P17" s="4">
        <v>0.0</v>
      </c>
    </row>
    <row r="18">
      <c r="A18" s="4" t="s">
        <v>253</v>
      </c>
      <c r="B18" s="4">
        <v>6.0</v>
      </c>
      <c r="C18" s="4" t="s">
        <v>49</v>
      </c>
      <c r="D18" s="4" t="s">
        <v>255</v>
      </c>
      <c r="E18" s="4" t="s">
        <v>84</v>
      </c>
      <c r="F18" s="4" t="s">
        <v>92</v>
      </c>
      <c r="G18" s="4" t="s">
        <v>257</v>
      </c>
      <c r="H18" s="4" t="s">
        <v>258</v>
      </c>
      <c r="I18" s="4" t="s">
        <v>260</v>
      </c>
      <c r="J18" s="4" t="s">
        <v>58</v>
      </c>
      <c r="K18" s="4" t="s">
        <v>42</v>
      </c>
      <c r="L18" s="4" t="s">
        <v>62</v>
      </c>
      <c r="M18" s="4" t="s">
        <v>62</v>
      </c>
      <c r="N18" s="7" t="s">
        <v>62</v>
      </c>
      <c r="O18" s="4" t="s">
        <v>62</v>
      </c>
      <c r="P18" s="4">
        <v>0.0</v>
      </c>
    </row>
    <row r="19">
      <c r="A19" s="4" t="s">
        <v>264</v>
      </c>
      <c r="B19" s="4">
        <v>6.0</v>
      </c>
      <c r="C19" s="4" t="s">
        <v>100</v>
      </c>
      <c r="D19" s="4" t="s">
        <v>86</v>
      </c>
      <c r="E19" s="4" t="s">
        <v>84</v>
      </c>
      <c r="F19" s="4" t="s">
        <v>265</v>
      </c>
      <c r="G19" s="4" t="s">
        <v>266</v>
      </c>
      <c r="H19" s="4" t="s">
        <v>267</v>
      </c>
      <c r="I19" s="4" t="s">
        <v>268</v>
      </c>
      <c r="J19" s="4" t="s">
        <v>58</v>
      </c>
      <c r="K19" s="4" t="s">
        <v>42</v>
      </c>
      <c r="L19" s="4" t="s">
        <v>62</v>
      </c>
      <c r="M19" s="4" t="s">
        <v>62</v>
      </c>
      <c r="N19" s="7" t="s">
        <v>62</v>
      </c>
      <c r="O19" s="4" t="s">
        <v>62</v>
      </c>
      <c r="P19" s="4">
        <v>0.0</v>
      </c>
    </row>
    <row r="20">
      <c r="A20" s="4" t="s">
        <v>269</v>
      </c>
      <c r="B20" s="4">
        <v>7.0</v>
      </c>
      <c r="C20" s="4" t="s">
        <v>49</v>
      </c>
      <c r="D20" s="4" t="s">
        <v>270</v>
      </c>
      <c r="E20" s="4" t="s">
        <v>53</v>
      </c>
      <c r="F20" s="4" t="s">
        <v>99</v>
      </c>
      <c r="G20" s="4" t="s">
        <v>271</v>
      </c>
      <c r="H20" s="4" t="s">
        <v>272</v>
      </c>
      <c r="I20" s="4" t="s">
        <v>273</v>
      </c>
      <c r="J20" s="4" t="s">
        <v>58</v>
      </c>
      <c r="K20" s="4" t="s">
        <v>42</v>
      </c>
      <c r="L20" s="4" t="s">
        <v>62</v>
      </c>
      <c r="M20" s="4" t="s">
        <v>62</v>
      </c>
      <c r="N20" s="7" t="s">
        <v>62</v>
      </c>
      <c r="O20" s="4" t="s">
        <v>62</v>
      </c>
      <c r="P20" s="4">
        <v>0.0</v>
      </c>
    </row>
    <row r="21">
      <c r="A21" s="4" t="s">
        <v>274</v>
      </c>
      <c r="B21" s="4">
        <v>7.0</v>
      </c>
      <c r="C21" s="4" t="s">
        <v>49</v>
      </c>
      <c r="D21" s="6" t="s">
        <v>276</v>
      </c>
      <c r="E21" s="4" t="s">
        <v>53</v>
      </c>
      <c r="F21" s="4" t="s">
        <v>101</v>
      </c>
      <c r="G21" s="4" t="s">
        <v>277</v>
      </c>
      <c r="H21" s="4" t="s">
        <v>278</v>
      </c>
      <c r="I21" s="4" t="s">
        <v>279</v>
      </c>
      <c r="J21" s="4" t="s">
        <v>170</v>
      </c>
      <c r="K21" s="4" t="s">
        <v>42</v>
      </c>
      <c r="L21" s="4" t="s">
        <v>62</v>
      </c>
      <c r="M21" s="4" t="s">
        <v>62</v>
      </c>
      <c r="N21" s="7" t="s">
        <v>62</v>
      </c>
      <c r="O21" s="4" t="s">
        <v>62</v>
      </c>
      <c r="P21" s="4">
        <v>0.0</v>
      </c>
    </row>
    <row r="22">
      <c r="A22" s="4" t="s">
        <v>282</v>
      </c>
      <c r="B22" s="4">
        <v>7.0</v>
      </c>
      <c r="C22" s="4" t="s">
        <v>100</v>
      </c>
      <c r="D22" s="6" t="s">
        <v>96</v>
      </c>
      <c r="E22" s="4" t="s">
        <v>53</v>
      </c>
      <c r="F22" s="4" t="s">
        <v>287</v>
      </c>
      <c r="G22" s="4" t="s">
        <v>289</v>
      </c>
      <c r="H22" s="4" t="s">
        <v>291</v>
      </c>
      <c r="I22" s="4" t="s">
        <v>292</v>
      </c>
      <c r="J22" s="4" t="s">
        <v>58</v>
      </c>
      <c r="K22" s="4" t="s">
        <v>42</v>
      </c>
      <c r="L22" s="4" t="s">
        <v>62</v>
      </c>
      <c r="M22" s="4" t="s">
        <v>62</v>
      </c>
      <c r="N22" s="7" t="s">
        <v>62</v>
      </c>
      <c r="O22" s="4" t="s">
        <v>62</v>
      </c>
      <c r="P22" s="4">
        <v>0.0</v>
      </c>
    </row>
    <row r="23">
      <c r="A23" s="4" t="s">
        <v>302</v>
      </c>
      <c r="B23" s="4">
        <v>8.0</v>
      </c>
      <c r="C23" s="4" t="s">
        <v>49</v>
      </c>
      <c r="D23" s="6" t="s">
        <v>306</v>
      </c>
      <c r="E23" s="4" t="s">
        <v>308</v>
      </c>
      <c r="F23" s="4" t="s">
        <v>113</v>
      </c>
      <c r="G23" s="4" t="s">
        <v>313</v>
      </c>
      <c r="H23" s="4" t="s">
        <v>315</v>
      </c>
      <c r="I23" s="4" t="s">
        <v>316</v>
      </c>
      <c r="J23" s="4" t="s">
        <v>58</v>
      </c>
      <c r="K23" s="4" t="s">
        <v>42</v>
      </c>
      <c r="L23" s="4" t="s">
        <v>62</v>
      </c>
      <c r="M23" s="4" t="s">
        <v>62</v>
      </c>
      <c r="N23" s="7" t="s">
        <v>62</v>
      </c>
      <c r="O23" s="4" t="s">
        <v>62</v>
      </c>
      <c r="P23" s="4">
        <v>0.0</v>
      </c>
    </row>
    <row r="24">
      <c r="A24" s="4" t="s">
        <v>328</v>
      </c>
      <c r="B24" s="4">
        <v>8.0</v>
      </c>
      <c r="C24" s="4" t="s">
        <v>49</v>
      </c>
      <c r="D24" s="6" t="s">
        <v>333</v>
      </c>
      <c r="E24" s="4" t="s">
        <v>308</v>
      </c>
      <c r="F24" s="4" t="s">
        <v>114</v>
      </c>
      <c r="G24" s="4" t="s">
        <v>338</v>
      </c>
      <c r="H24" s="4" t="s">
        <v>341</v>
      </c>
      <c r="I24" s="4" t="s">
        <v>344</v>
      </c>
      <c r="J24" s="4" t="s">
        <v>170</v>
      </c>
      <c r="K24" s="4" t="s">
        <v>42</v>
      </c>
      <c r="L24" s="4" t="s">
        <v>62</v>
      </c>
      <c r="M24" s="4" t="s">
        <v>62</v>
      </c>
      <c r="N24" s="7" t="s">
        <v>62</v>
      </c>
      <c r="O24" s="4" t="s">
        <v>62</v>
      </c>
      <c r="P24" s="4">
        <v>0.0</v>
      </c>
    </row>
    <row r="25">
      <c r="A25" s="4" t="s">
        <v>348</v>
      </c>
      <c r="B25" s="4">
        <v>8.0</v>
      </c>
      <c r="C25" s="4" t="s">
        <v>100</v>
      </c>
      <c r="D25" s="6" t="s">
        <v>109</v>
      </c>
      <c r="E25" s="4" t="s">
        <v>308</v>
      </c>
      <c r="F25" s="4" t="s">
        <v>349</v>
      </c>
      <c r="G25" s="4" t="s">
        <v>350</v>
      </c>
      <c r="H25" s="4" t="s">
        <v>352</v>
      </c>
      <c r="I25" s="4" t="s">
        <v>353</v>
      </c>
      <c r="J25" s="4" t="s">
        <v>170</v>
      </c>
      <c r="K25" s="4" t="s">
        <v>42</v>
      </c>
      <c r="L25" s="4" t="s">
        <v>62</v>
      </c>
      <c r="M25" s="4" t="s">
        <v>62</v>
      </c>
      <c r="N25" s="7" t="s">
        <v>62</v>
      </c>
      <c r="O25" s="4" t="s">
        <v>62</v>
      </c>
      <c r="P25" s="4">
        <v>0.0</v>
      </c>
    </row>
    <row r="26">
      <c r="A26" s="4" t="s">
        <v>360</v>
      </c>
      <c r="B26" s="4">
        <v>9.0</v>
      </c>
      <c r="C26" s="4" t="s">
        <v>49</v>
      </c>
      <c r="D26" s="4" t="s">
        <v>361</v>
      </c>
      <c r="E26" s="4" t="s">
        <v>84</v>
      </c>
      <c r="F26" s="4" t="s">
        <v>126</v>
      </c>
      <c r="G26" s="4" t="s">
        <v>362</v>
      </c>
      <c r="H26" s="4" t="s">
        <v>363</v>
      </c>
      <c r="I26" s="4" t="s">
        <v>364</v>
      </c>
      <c r="J26" s="4" t="s">
        <v>58</v>
      </c>
      <c r="K26" s="4" t="s">
        <v>42</v>
      </c>
      <c r="L26" s="4" t="s">
        <v>62</v>
      </c>
      <c r="M26" s="4" t="s">
        <v>62</v>
      </c>
      <c r="N26" s="7" t="s">
        <v>62</v>
      </c>
      <c r="O26" s="4" t="s">
        <v>62</v>
      </c>
      <c r="P26" s="4">
        <v>0.0</v>
      </c>
    </row>
    <row r="27">
      <c r="A27" s="4" t="s">
        <v>366</v>
      </c>
      <c r="B27" s="4">
        <v>9.0</v>
      </c>
      <c r="C27" s="4" t="s">
        <v>49</v>
      </c>
      <c r="D27" s="4" t="s">
        <v>367</v>
      </c>
      <c r="E27" s="4" t="s">
        <v>84</v>
      </c>
      <c r="F27" s="4" t="s">
        <v>127</v>
      </c>
      <c r="G27" s="4" t="s">
        <v>369</v>
      </c>
      <c r="H27" s="4" t="s">
        <v>370</v>
      </c>
      <c r="I27" s="4" t="s">
        <v>371</v>
      </c>
      <c r="J27" s="4" t="s">
        <v>58</v>
      </c>
      <c r="K27" s="4" t="s">
        <v>42</v>
      </c>
      <c r="L27" s="4" t="s">
        <v>62</v>
      </c>
      <c r="M27" s="4" t="s">
        <v>62</v>
      </c>
      <c r="N27" s="7" t="s">
        <v>62</v>
      </c>
      <c r="O27" s="4" t="s">
        <v>62</v>
      </c>
      <c r="P27" s="4">
        <v>0.0</v>
      </c>
    </row>
    <row r="28">
      <c r="A28" s="4" t="s">
        <v>375</v>
      </c>
      <c r="B28" s="4">
        <v>9.0</v>
      </c>
      <c r="C28" s="4" t="s">
        <v>100</v>
      </c>
      <c r="D28" s="4" t="s">
        <v>121</v>
      </c>
      <c r="E28" s="4" t="s">
        <v>84</v>
      </c>
      <c r="F28" s="4" t="s">
        <v>381</v>
      </c>
      <c r="G28" s="4" t="s">
        <v>382</v>
      </c>
      <c r="H28" s="4" t="s">
        <v>385</v>
      </c>
      <c r="I28" s="4" t="s">
        <v>239</v>
      </c>
      <c r="J28" s="4" t="s">
        <v>58</v>
      </c>
      <c r="K28" s="4" t="s">
        <v>42</v>
      </c>
      <c r="L28" s="4" t="s">
        <v>62</v>
      </c>
      <c r="M28" s="4" t="s">
        <v>62</v>
      </c>
      <c r="N28" s="7" t="s">
        <v>62</v>
      </c>
      <c r="O28" s="4" t="s">
        <v>62</v>
      </c>
      <c r="P28" s="4">
        <v>0.0</v>
      </c>
    </row>
    <row r="29">
      <c r="A29" s="4" t="s">
        <v>396</v>
      </c>
      <c r="B29" s="4">
        <v>10.0</v>
      </c>
      <c r="C29" s="4" t="s">
        <v>49</v>
      </c>
      <c r="D29" s="4" t="s">
        <v>398</v>
      </c>
      <c r="E29" s="4" t="s">
        <v>202</v>
      </c>
      <c r="F29" s="4" t="s">
        <v>147</v>
      </c>
      <c r="G29" s="4" t="s">
        <v>402</v>
      </c>
      <c r="H29" s="4" t="s">
        <v>404</v>
      </c>
      <c r="I29" s="4" t="s">
        <v>406</v>
      </c>
      <c r="J29" s="4" t="s">
        <v>170</v>
      </c>
      <c r="K29" s="4" t="s">
        <v>42</v>
      </c>
      <c r="L29" s="4" t="s">
        <v>62</v>
      </c>
      <c r="M29" s="4" t="s">
        <v>62</v>
      </c>
      <c r="N29" s="7" t="s">
        <v>62</v>
      </c>
      <c r="O29" s="4" t="s">
        <v>62</v>
      </c>
      <c r="P29" s="4">
        <v>0.0</v>
      </c>
    </row>
    <row r="30">
      <c r="A30" s="4" t="s">
        <v>414</v>
      </c>
      <c r="B30" s="4">
        <v>10.0</v>
      </c>
      <c r="C30" s="4" t="s">
        <v>49</v>
      </c>
      <c r="D30" s="4" t="s">
        <v>415</v>
      </c>
      <c r="E30" s="4" t="s">
        <v>202</v>
      </c>
      <c r="F30" s="4" t="s">
        <v>149</v>
      </c>
      <c r="G30" s="4" t="s">
        <v>420</v>
      </c>
      <c r="H30" s="4" t="s">
        <v>422</v>
      </c>
      <c r="I30" s="4" t="s">
        <v>424</v>
      </c>
      <c r="J30" s="4" t="s">
        <v>170</v>
      </c>
      <c r="K30" s="4" t="s">
        <v>42</v>
      </c>
      <c r="L30" s="4" t="s">
        <v>62</v>
      </c>
      <c r="M30" s="4" t="s">
        <v>62</v>
      </c>
      <c r="N30" s="7" t="s">
        <v>62</v>
      </c>
      <c r="O30" s="4" t="s">
        <v>62</v>
      </c>
      <c r="P30" s="4">
        <v>0.0</v>
      </c>
    </row>
    <row r="31">
      <c r="A31" s="4" t="s">
        <v>432</v>
      </c>
      <c r="B31" s="4">
        <v>10.0</v>
      </c>
      <c r="C31" s="4" t="s">
        <v>100</v>
      </c>
      <c r="D31" s="4" t="s">
        <v>141</v>
      </c>
      <c r="E31" s="4" t="s">
        <v>202</v>
      </c>
      <c r="F31" s="4" t="s">
        <v>436</v>
      </c>
      <c r="G31" s="4" t="s">
        <v>437</v>
      </c>
      <c r="H31" s="4" t="s">
        <v>438</v>
      </c>
      <c r="I31" s="4" t="s">
        <v>441</v>
      </c>
      <c r="J31" s="4" t="s">
        <v>170</v>
      </c>
      <c r="K31" s="4" t="s">
        <v>42</v>
      </c>
      <c r="L31" s="4" t="s">
        <v>62</v>
      </c>
      <c r="M31" s="4" t="s">
        <v>62</v>
      </c>
      <c r="N31" s="7" t="s">
        <v>62</v>
      </c>
      <c r="O31" s="4" t="s">
        <v>62</v>
      </c>
      <c r="P31" s="4">
        <v>0.0</v>
      </c>
    </row>
    <row r="32">
      <c r="A32" s="4" t="s">
        <v>448</v>
      </c>
      <c r="B32" s="4">
        <v>11.0</v>
      </c>
      <c r="C32" s="4" t="s">
        <v>49</v>
      </c>
      <c r="D32" s="4" t="s">
        <v>450</v>
      </c>
      <c r="E32" s="4" t="s">
        <v>202</v>
      </c>
      <c r="F32" s="4" t="s">
        <v>162</v>
      </c>
      <c r="G32" s="4" t="s">
        <v>453</v>
      </c>
      <c r="H32" s="4" t="s">
        <v>456</v>
      </c>
      <c r="I32" s="4" t="s">
        <v>457</v>
      </c>
      <c r="J32" s="4" t="s">
        <v>170</v>
      </c>
      <c r="K32" s="4" t="s">
        <v>42</v>
      </c>
      <c r="L32" s="4" t="s">
        <v>62</v>
      </c>
      <c r="M32" s="4" t="s">
        <v>62</v>
      </c>
      <c r="N32" s="7" t="s">
        <v>62</v>
      </c>
      <c r="O32" s="4" t="s">
        <v>62</v>
      </c>
      <c r="P32" s="4">
        <v>0.0</v>
      </c>
    </row>
    <row r="33">
      <c r="A33" s="4" t="s">
        <v>465</v>
      </c>
      <c r="B33" s="4">
        <v>11.0</v>
      </c>
      <c r="C33" s="4" t="s">
        <v>49</v>
      </c>
      <c r="D33" s="4" t="s">
        <v>468</v>
      </c>
      <c r="E33" s="4" t="s">
        <v>202</v>
      </c>
      <c r="F33" s="4" t="s">
        <v>163</v>
      </c>
      <c r="G33" s="4" t="s">
        <v>469</v>
      </c>
      <c r="H33" s="4" t="s">
        <v>472</v>
      </c>
      <c r="I33" s="4" t="s">
        <v>475</v>
      </c>
      <c r="J33" s="4" t="s">
        <v>170</v>
      </c>
      <c r="K33" s="4" t="s">
        <v>42</v>
      </c>
      <c r="L33" s="4" t="s">
        <v>62</v>
      </c>
      <c r="M33" s="4" t="s">
        <v>62</v>
      </c>
      <c r="N33" s="7" t="s">
        <v>62</v>
      </c>
      <c r="O33" s="4" t="s">
        <v>62</v>
      </c>
      <c r="P33" s="4">
        <v>0.0</v>
      </c>
    </row>
    <row r="34">
      <c r="A34" s="4" t="s">
        <v>483</v>
      </c>
      <c r="B34" s="4">
        <v>11.0</v>
      </c>
      <c r="C34" s="4" t="s">
        <v>100</v>
      </c>
      <c r="D34" s="6" t="s">
        <v>159</v>
      </c>
      <c r="E34" s="4" t="s">
        <v>202</v>
      </c>
      <c r="F34" s="4" t="s">
        <v>490</v>
      </c>
      <c r="G34" s="4" t="s">
        <v>491</v>
      </c>
      <c r="H34" s="4" t="s">
        <v>492</v>
      </c>
      <c r="I34" s="4" t="s">
        <v>441</v>
      </c>
      <c r="J34" s="4" t="s">
        <v>170</v>
      </c>
      <c r="K34" s="4" t="s">
        <v>42</v>
      </c>
      <c r="L34" s="4" t="s">
        <v>62</v>
      </c>
      <c r="M34" s="4" t="s">
        <v>62</v>
      </c>
      <c r="N34" s="7" t="s">
        <v>62</v>
      </c>
      <c r="O34" s="4" t="s">
        <v>62</v>
      </c>
      <c r="P34" s="4">
        <v>0.0</v>
      </c>
    </row>
    <row r="35">
      <c r="A35" s="4" t="s">
        <v>497</v>
      </c>
      <c r="B35" s="4">
        <v>12.0</v>
      </c>
      <c r="C35" s="4" t="s">
        <v>49</v>
      </c>
      <c r="D35" s="6" t="s">
        <v>498</v>
      </c>
      <c r="E35" s="4" t="s">
        <v>53</v>
      </c>
      <c r="F35" s="4" t="s">
        <v>174</v>
      </c>
      <c r="G35" s="4" t="s">
        <v>500</v>
      </c>
      <c r="H35" s="4" t="s">
        <v>502</v>
      </c>
      <c r="I35" s="4" t="s">
        <v>504</v>
      </c>
      <c r="J35" s="4" t="s">
        <v>58</v>
      </c>
      <c r="K35" s="4" t="s">
        <v>42</v>
      </c>
      <c r="L35" s="4" t="s">
        <v>62</v>
      </c>
      <c r="M35" s="4" t="s">
        <v>62</v>
      </c>
      <c r="N35" s="7" t="s">
        <v>62</v>
      </c>
      <c r="O35" s="4" t="s">
        <v>62</v>
      </c>
      <c r="P35" s="4">
        <v>0.0</v>
      </c>
    </row>
    <row r="36">
      <c r="A36" s="4" t="s">
        <v>507</v>
      </c>
      <c r="B36" s="4">
        <v>12.0</v>
      </c>
      <c r="C36" s="4" t="s">
        <v>49</v>
      </c>
      <c r="D36" s="6" t="s">
        <v>511</v>
      </c>
      <c r="E36" s="4" t="s">
        <v>53</v>
      </c>
      <c r="F36" s="4" t="s">
        <v>175</v>
      </c>
      <c r="G36" s="4" t="s">
        <v>512</v>
      </c>
      <c r="H36" s="4" t="s">
        <v>513</v>
      </c>
      <c r="I36" s="4" t="s">
        <v>514</v>
      </c>
      <c r="J36" s="4" t="s">
        <v>58</v>
      </c>
      <c r="K36" s="4" t="s">
        <v>42</v>
      </c>
      <c r="L36" s="4" t="s">
        <v>62</v>
      </c>
      <c r="M36" s="4" t="s">
        <v>62</v>
      </c>
      <c r="N36" s="7" t="s">
        <v>62</v>
      </c>
      <c r="O36" s="4" t="s">
        <v>62</v>
      </c>
      <c r="P36" s="4">
        <v>0.0</v>
      </c>
    </row>
    <row r="37">
      <c r="A37" s="4" t="s">
        <v>519</v>
      </c>
      <c r="B37" s="4">
        <v>12.0</v>
      </c>
      <c r="C37" s="4" t="s">
        <v>100</v>
      </c>
      <c r="D37" s="6" t="s">
        <v>172</v>
      </c>
      <c r="E37" s="4" t="s">
        <v>53</v>
      </c>
      <c r="F37" s="4" t="s">
        <v>521</v>
      </c>
      <c r="G37" s="4" t="s">
        <v>523</v>
      </c>
      <c r="H37" s="4" t="s">
        <v>525</v>
      </c>
      <c r="I37" s="4" t="s">
        <v>527</v>
      </c>
      <c r="J37" s="4" t="s">
        <v>170</v>
      </c>
      <c r="K37" s="4" t="s">
        <v>42</v>
      </c>
      <c r="L37" s="4" t="s">
        <v>62</v>
      </c>
      <c r="M37" s="4" t="s">
        <v>62</v>
      </c>
      <c r="N37" s="7" t="s">
        <v>62</v>
      </c>
      <c r="O37" s="4" t="s">
        <v>62</v>
      </c>
      <c r="P37" s="4">
        <v>0.0</v>
      </c>
    </row>
    <row r="38">
      <c r="A38" s="4" t="s">
        <v>531</v>
      </c>
      <c r="B38" s="4">
        <v>13.0</v>
      </c>
      <c r="C38" s="4" t="s">
        <v>49</v>
      </c>
      <c r="D38" s="6" t="s">
        <v>534</v>
      </c>
      <c r="E38" s="4" t="s">
        <v>202</v>
      </c>
      <c r="F38" s="4" t="s">
        <v>183</v>
      </c>
      <c r="G38" s="4" t="s">
        <v>535</v>
      </c>
      <c r="H38" s="4" t="s">
        <v>537</v>
      </c>
      <c r="I38" s="4" t="s">
        <v>538</v>
      </c>
      <c r="J38" s="4" t="s">
        <v>170</v>
      </c>
      <c r="K38" s="4" t="s">
        <v>42</v>
      </c>
      <c r="L38" s="4" t="s">
        <v>62</v>
      </c>
      <c r="M38" s="4" t="s">
        <v>62</v>
      </c>
      <c r="N38" s="7" t="s">
        <v>62</v>
      </c>
      <c r="O38" s="4" t="s">
        <v>62</v>
      </c>
      <c r="P38" s="4">
        <v>0.0</v>
      </c>
    </row>
    <row r="39">
      <c r="A39" s="4" t="s">
        <v>543</v>
      </c>
      <c r="B39" s="4">
        <v>13.0</v>
      </c>
      <c r="C39" s="4" t="s">
        <v>49</v>
      </c>
      <c r="D39" s="4" t="s">
        <v>545</v>
      </c>
      <c r="E39" s="4" t="s">
        <v>84</v>
      </c>
      <c r="F39" s="4" t="s">
        <v>185</v>
      </c>
      <c r="G39" s="4" t="s">
        <v>548</v>
      </c>
      <c r="H39" s="4" t="s">
        <v>549</v>
      </c>
      <c r="I39" s="4" t="s">
        <v>550</v>
      </c>
      <c r="J39" s="4" t="s">
        <v>58</v>
      </c>
      <c r="K39" s="4" t="s">
        <v>42</v>
      </c>
      <c r="L39" s="4" t="s">
        <v>62</v>
      </c>
      <c r="M39" s="4" t="s">
        <v>62</v>
      </c>
      <c r="N39" s="7" t="s">
        <v>62</v>
      </c>
      <c r="O39" s="4" t="s">
        <v>62</v>
      </c>
      <c r="P39" s="4">
        <v>0.0</v>
      </c>
    </row>
    <row r="40">
      <c r="A40" s="4" t="s">
        <v>555</v>
      </c>
      <c r="B40" s="4">
        <v>13.0</v>
      </c>
      <c r="C40" s="4" t="s">
        <v>100</v>
      </c>
      <c r="D40" s="4" t="s">
        <v>180</v>
      </c>
      <c r="E40" s="4" t="s">
        <v>84</v>
      </c>
      <c r="F40" s="4" t="s">
        <v>557</v>
      </c>
      <c r="G40" s="4" t="s">
        <v>558</v>
      </c>
      <c r="H40" s="4" t="s">
        <v>560</v>
      </c>
      <c r="I40" s="4" t="s">
        <v>562</v>
      </c>
      <c r="J40" s="4" t="s">
        <v>58</v>
      </c>
      <c r="K40" s="4" t="s">
        <v>42</v>
      </c>
      <c r="L40" s="4" t="s">
        <v>62</v>
      </c>
      <c r="M40" s="4" t="s">
        <v>62</v>
      </c>
      <c r="N40" s="7" t="s">
        <v>62</v>
      </c>
      <c r="O40" s="4" t="s">
        <v>62</v>
      </c>
      <c r="P40" s="4">
        <v>0.0</v>
      </c>
    </row>
    <row r="41">
      <c r="K41" s="10"/>
      <c r="N41" s="8"/>
      <c r="P41" s="10"/>
    </row>
    <row r="42">
      <c r="K42" s="10"/>
      <c r="N42" s="8"/>
      <c r="P42" s="10"/>
    </row>
    <row r="43">
      <c r="K43" s="10"/>
      <c r="N43" s="8"/>
      <c r="P43" s="10"/>
    </row>
    <row r="44">
      <c r="K44" s="10"/>
      <c r="N44" s="8"/>
      <c r="P44" s="10"/>
    </row>
    <row r="45">
      <c r="K45" s="10"/>
      <c r="N45" s="8"/>
      <c r="P45" s="10"/>
    </row>
    <row r="46">
      <c r="K46" s="10"/>
      <c r="N46" s="8"/>
      <c r="P46" s="10"/>
    </row>
    <row r="47">
      <c r="K47" s="10"/>
      <c r="N47" s="8"/>
      <c r="P47" s="10"/>
    </row>
    <row r="48">
      <c r="K48" s="10"/>
      <c r="N48" s="8"/>
      <c r="P48" s="10"/>
    </row>
    <row r="49">
      <c r="K49" s="10"/>
      <c r="N49" s="8"/>
      <c r="P49" s="10"/>
    </row>
    <row r="50">
      <c r="K50" s="10"/>
      <c r="N50" s="8"/>
      <c r="P50" s="10"/>
    </row>
    <row r="51">
      <c r="K51" s="10"/>
      <c r="N51" s="8"/>
      <c r="P51" s="10"/>
    </row>
    <row r="52">
      <c r="K52" s="10"/>
      <c r="N52" s="8"/>
      <c r="P52" s="10"/>
    </row>
    <row r="53">
      <c r="K53" s="10"/>
      <c r="N53" s="8"/>
      <c r="P53" s="10"/>
    </row>
    <row r="54">
      <c r="K54" s="10"/>
      <c r="N54" s="8"/>
      <c r="P54" s="10"/>
    </row>
    <row r="55">
      <c r="K55" s="10"/>
      <c r="N55" s="8"/>
      <c r="P55" s="10"/>
    </row>
    <row r="56">
      <c r="K56" s="10"/>
      <c r="N56" s="8"/>
      <c r="P56" s="10"/>
    </row>
    <row r="57">
      <c r="K57" s="10"/>
      <c r="N57" s="8"/>
      <c r="P57" s="10"/>
    </row>
    <row r="58">
      <c r="K58" s="10"/>
      <c r="N58" s="8"/>
      <c r="P58" s="10"/>
    </row>
    <row r="59">
      <c r="K59" s="10"/>
      <c r="N59" s="8"/>
      <c r="P59" s="10"/>
    </row>
    <row r="60">
      <c r="K60" s="10"/>
      <c r="N60" s="8"/>
      <c r="P60" s="10"/>
    </row>
    <row r="61">
      <c r="K61" s="10"/>
      <c r="N61" s="8"/>
      <c r="P61" s="10"/>
    </row>
    <row r="62">
      <c r="K62" s="10"/>
      <c r="N62" s="8"/>
      <c r="P62" s="10"/>
    </row>
    <row r="63">
      <c r="K63" s="10"/>
      <c r="N63" s="8"/>
      <c r="P63" s="10"/>
    </row>
    <row r="64">
      <c r="K64" s="10"/>
      <c r="N64" s="8"/>
      <c r="P64" s="10"/>
    </row>
    <row r="65">
      <c r="K65" s="10"/>
      <c r="N65" s="8"/>
      <c r="P65" s="10"/>
    </row>
    <row r="66">
      <c r="K66" s="10"/>
      <c r="N66" s="8"/>
      <c r="P66" s="10"/>
    </row>
    <row r="67">
      <c r="K67" s="10"/>
      <c r="N67" s="8"/>
      <c r="P67" s="10"/>
    </row>
    <row r="68">
      <c r="K68" s="10"/>
      <c r="N68" s="8"/>
      <c r="P68" s="10"/>
    </row>
    <row r="69">
      <c r="K69" s="10"/>
      <c r="N69" s="8"/>
      <c r="P69" s="10"/>
    </row>
    <row r="70">
      <c r="K70" s="10"/>
      <c r="N70" s="8"/>
      <c r="P70" s="10"/>
    </row>
    <row r="71">
      <c r="K71" s="10"/>
      <c r="N71" s="8"/>
      <c r="P71" s="10"/>
    </row>
    <row r="72">
      <c r="K72" s="10"/>
      <c r="N72" s="8"/>
      <c r="P72" s="10"/>
    </row>
    <row r="73">
      <c r="K73" s="10"/>
      <c r="N73" s="8"/>
      <c r="P73" s="10"/>
    </row>
    <row r="74">
      <c r="K74" s="10"/>
      <c r="N74" s="8"/>
      <c r="P74" s="10"/>
    </row>
    <row r="75">
      <c r="K75" s="10"/>
      <c r="N75" s="8"/>
      <c r="P75" s="10"/>
    </row>
    <row r="76">
      <c r="K76" s="10"/>
      <c r="N76" s="8"/>
      <c r="P76" s="10"/>
    </row>
    <row r="77">
      <c r="K77" s="10"/>
      <c r="N77" s="8"/>
      <c r="P77" s="10"/>
    </row>
    <row r="78">
      <c r="K78" s="10"/>
      <c r="N78" s="8"/>
      <c r="P78" s="10"/>
    </row>
    <row r="79">
      <c r="K79" s="10"/>
      <c r="N79" s="8"/>
      <c r="P79" s="10"/>
    </row>
    <row r="80">
      <c r="K80" s="10"/>
      <c r="N80" s="8"/>
      <c r="P80" s="10"/>
    </row>
    <row r="81">
      <c r="K81" s="10"/>
      <c r="N81" s="8"/>
      <c r="P81" s="10"/>
    </row>
    <row r="82">
      <c r="K82" s="10"/>
      <c r="N82" s="8"/>
      <c r="P82" s="10"/>
    </row>
    <row r="83">
      <c r="K83" s="10"/>
      <c r="N83" s="8"/>
      <c r="P83" s="10"/>
    </row>
    <row r="84">
      <c r="K84" s="10"/>
      <c r="N84" s="8"/>
      <c r="P84" s="10"/>
    </row>
    <row r="85">
      <c r="K85" s="10"/>
      <c r="N85" s="8"/>
      <c r="P85" s="10"/>
    </row>
    <row r="86">
      <c r="K86" s="10"/>
      <c r="N86" s="8"/>
      <c r="P86" s="10"/>
    </row>
    <row r="87">
      <c r="K87" s="10"/>
      <c r="N87" s="8"/>
      <c r="P87" s="10"/>
    </row>
    <row r="88">
      <c r="K88" s="10"/>
      <c r="N88" s="8"/>
      <c r="P88" s="10"/>
    </row>
    <row r="89">
      <c r="K89" s="10"/>
      <c r="N89" s="8"/>
      <c r="P89" s="10"/>
    </row>
    <row r="90">
      <c r="K90" s="10"/>
      <c r="N90" s="8"/>
      <c r="P90" s="10"/>
    </row>
    <row r="91">
      <c r="K91" s="10"/>
      <c r="N91" s="8"/>
      <c r="P91" s="10"/>
    </row>
    <row r="92">
      <c r="K92" s="10"/>
      <c r="N92" s="8"/>
      <c r="P92" s="10"/>
    </row>
    <row r="93">
      <c r="K93" s="10"/>
      <c r="N93" s="8"/>
      <c r="P93" s="10"/>
    </row>
    <row r="94">
      <c r="K94" s="10"/>
      <c r="N94" s="8"/>
      <c r="P94" s="10"/>
    </row>
    <row r="95">
      <c r="K95" s="10"/>
      <c r="N95" s="8"/>
      <c r="P95" s="10"/>
    </row>
    <row r="96">
      <c r="K96" s="10"/>
      <c r="N96" s="8"/>
      <c r="P96" s="10"/>
    </row>
    <row r="97">
      <c r="K97" s="10"/>
      <c r="N97" s="8"/>
      <c r="P97" s="10"/>
    </row>
    <row r="98">
      <c r="K98" s="10"/>
      <c r="N98" s="8"/>
      <c r="P98" s="10"/>
    </row>
    <row r="99">
      <c r="K99" s="10"/>
      <c r="N99" s="8"/>
      <c r="P99" s="10"/>
    </row>
    <row r="100">
      <c r="K100" s="10"/>
      <c r="N100" s="8"/>
      <c r="P100" s="10"/>
    </row>
    <row r="101">
      <c r="K101" s="10"/>
      <c r="N101" s="8"/>
      <c r="P101" s="10"/>
    </row>
    <row r="102">
      <c r="K102" s="10"/>
      <c r="N102" s="8"/>
      <c r="P102" s="10"/>
    </row>
    <row r="103">
      <c r="K103" s="10"/>
      <c r="N103" s="8"/>
      <c r="P103" s="10"/>
    </row>
    <row r="104">
      <c r="K104" s="10"/>
      <c r="N104" s="8"/>
      <c r="P104" s="10"/>
    </row>
    <row r="105">
      <c r="K105" s="10"/>
      <c r="N105" s="8"/>
      <c r="P105" s="10"/>
    </row>
    <row r="106">
      <c r="K106" s="10"/>
      <c r="N106" s="8"/>
      <c r="P106" s="10"/>
    </row>
    <row r="107">
      <c r="K107" s="10"/>
      <c r="N107" s="8"/>
      <c r="P107" s="10"/>
    </row>
    <row r="108">
      <c r="K108" s="10"/>
      <c r="N108" s="8"/>
      <c r="P108" s="10"/>
    </row>
    <row r="109">
      <c r="K109" s="10"/>
      <c r="N109" s="8"/>
      <c r="P109" s="10"/>
    </row>
    <row r="110">
      <c r="K110" s="10"/>
      <c r="N110" s="8"/>
      <c r="P110" s="10"/>
    </row>
    <row r="111">
      <c r="K111" s="10"/>
      <c r="N111" s="8"/>
      <c r="P111" s="10"/>
    </row>
    <row r="112">
      <c r="K112" s="10"/>
      <c r="N112" s="8"/>
      <c r="P112" s="10"/>
    </row>
    <row r="113">
      <c r="K113" s="10"/>
      <c r="N113" s="8"/>
      <c r="P113" s="10"/>
    </row>
    <row r="114">
      <c r="K114" s="10"/>
      <c r="N114" s="8"/>
      <c r="P114" s="10"/>
    </row>
    <row r="115">
      <c r="K115" s="10"/>
      <c r="N115" s="8"/>
      <c r="P115" s="10"/>
    </row>
    <row r="116">
      <c r="K116" s="10"/>
      <c r="N116" s="8"/>
      <c r="P116" s="10"/>
    </row>
    <row r="117">
      <c r="K117" s="10"/>
      <c r="N117" s="8"/>
      <c r="P117" s="10"/>
    </row>
    <row r="118">
      <c r="K118" s="10"/>
      <c r="N118" s="8"/>
      <c r="P118" s="10"/>
    </row>
    <row r="119">
      <c r="K119" s="10"/>
      <c r="N119" s="8"/>
      <c r="P119" s="10"/>
    </row>
    <row r="120">
      <c r="K120" s="10"/>
      <c r="N120" s="8"/>
      <c r="P120" s="10"/>
    </row>
  </sheetData>
  <dataValidations>
    <dataValidation type="decimal" allowBlank="1" showDropDown="1" showErrorMessage="1" sqref="P2:P120">
      <formula1>0.0</formula1>
      <formula2>5.0</formula2>
    </dataValidation>
    <dataValidation type="list" allowBlank="1" showErrorMessage="1" sqref="K2:K120">
      <formula1>"Backlog,Planned,Script,Record,Edit,Scheduled,Published,Skip"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9919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6" width="15.13"/>
    <col customWidth="1" min="17" max="18" width="32.63"/>
  </cols>
  <sheetData>
    <row r="1">
      <c r="A1" s="9" t="s">
        <v>0</v>
      </c>
      <c r="B1" s="9" t="s">
        <v>112</v>
      </c>
      <c r="C1" s="9" t="s">
        <v>116</v>
      </c>
      <c r="D1" s="9" t="s">
        <v>119</v>
      </c>
      <c r="E1" s="9" t="s">
        <v>124</v>
      </c>
      <c r="F1" s="9" t="s">
        <v>128</v>
      </c>
      <c r="G1" s="9" t="s">
        <v>32</v>
      </c>
      <c r="H1" s="9" t="s">
        <v>132</v>
      </c>
      <c r="I1" s="9" t="s">
        <v>134</v>
      </c>
      <c r="J1" s="9" t="s">
        <v>136</v>
      </c>
      <c r="K1" s="9" t="s">
        <v>140</v>
      </c>
      <c r="L1" s="9" t="s">
        <v>143</v>
      </c>
      <c r="M1" s="9" t="s">
        <v>145</v>
      </c>
      <c r="N1" s="9" t="s">
        <v>148</v>
      </c>
      <c r="O1" s="9" t="s">
        <v>152</v>
      </c>
      <c r="P1" s="9" t="s">
        <v>153</v>
      </c>
      <c r="Q1" s="9" t="s">
        <v>155</v>
      </c>
      <c r="R1" s="9" t="s">
        <v>156</v>
      </c>
    </row>
    <row r="2">
      <c r="A2" s="4">
        <v>0.0</v>
      </c>
      <c r="B2" s="4" t="s">
        <v>164</v>
      </c>
      <c r="C2" s="4">
        <v>770.0</v>
      </c>
      <c r="D2" s="4">
        <v>0.0</v>
      </c>
      <c r="E2" s="4">
        <v>266.0</v>
      </c>
      <c r="F2" s="4">
        <v>0.0</v>
      </c>
    </row>
    <row r="3">
      <c r="A3" s="4">
        <v>1.0</v>
      </c>
      <c r="B3" s="4" t="s">
        <v>16</v>
      </c>
      <c r="C3" s="4" t="s">
        <v>62</v>
      </c>
      <c r="D3" s="10" t="str">
        <f t="shared" ref="D3:D15" si="1">IF(C3="","",C3-C2)</f>
        <v/>
      </c>
      <c r="E3" s="4" t="s">
        <v>62</v>
      </c>
      <c r="F3" s="10" t="str">
        <f t="shared" ref="F3:F15" si="2">IF(E3="","",E3-E2)</f>
        <v/>
      </c>
      <c r="K3" s="8"/>
      <c r="M3" s="8"/>
    </row>
    <row r="4">
      <c r="A4" s="4">
        <v>2.0</v>
      </c>
      <c r="B4" s="4" t="s">
        <v>44</v>
      </c>
      <c r="C4" s="4" t="s">
        <v>62</v>
      </c>
      <c r="D4" s="10" t="str">
        <f t="shared" si="1"/>
        <v/>
      </c>
      <c r="E4" s="4" t="s">
        <v>62</v>
      </c>
      <c r="F4" s="10" t="str">
        <f t="shared" si="2"/>
        <v/>
      </c>
      <c r="K4" s="8"/>
      <c r="M4" s="8"/>
    </row>
    <row r="5">
      <c r="A5" s="4">
        <v>3.0</v>
      </c>
      <c r="B5" s="4" t="s">
        <v>59</v>
      </c>
      <c r="C5" s="4" t="s">
        <v>62</v>
      </c>
      <c r="D5" s="10" t="str">
        <f t="shared" si="1"/>
        <v/>
      </c>
      <c r="E5" s="4" t="s">
        <v>62</v>
      </c>
      <c r="F5" s="10" t="str">
        <f t="shared" si="2"/>
        <v/>
      </c>
      <c r="K5" s="8"/>
      <c r="M5" s="8"/>
    </row>
    <row r="6">
      <c r="A6" s="4">
        <v>4.0</v>
      </c>
      <c r="B6" s="6" t="s">
        <v>67</v>
      </c>
      <c r="C6" s="4" t="s">
        <v>62</v>
      </c>
      <c r="D6" s="10" t="str">
        <f t="shared" si="1"/>
        <v/>
      </c>
      <c r="E6" s="4" t="s">
        <v>62</v>
      </c>
      <c r="F6" s="10" t="str">
        <f t="shared" si="2"/>
        <v/>
      </c>
      <c r="K6" s="8"/>
      <c r="M6" s="8"/>
    </row>
    <row r="7">
      <c r="A7" s="4">
        <v>5.0</v>
      </c>
      <c r="B7" s="4" t="s">
        <v>74</v>
      </c>
      <c r="C7" s="4" t="s">
        <v>62</v>
      </c>
      <c r="D7" s="10" t="str">
        <f t="shared" si="1"/>
        <v/>
      </c>
      <c r="E7" s="4" t="s">
        <v>62</v>
      </c>
      <c r="F7" s="10" t="str">
        <f t="shared" si="2"/>
        <v/>
      </c>
      <c r="K7" s="8"/>
      <c r="M7" s="8"/>
    </row>
    <row r="8">
      <c r="A8" s="4">
        <v>6.0</v>
      </c>
      <c r="B8" s="4" t="s">
        <v>85</v>
      </c>
      <c r="C8" s="4" t="s">
        <v>62</v>
      </c>
      <c r="D8" s="10" t="str">
        <f t="shared" si="1"/>
        <v/>
      </c>
      <c r="E8" s="4" t="s">
        <v>62</v>
      </c>
      <c r="F8" s="10" t="str">
        <f t="shared" si="2"/>
        <v/>
      </c>
      <c r="K8" s="8"/>
      <c r="M8" s="8"/>
    </row>
    <row r="9">
      <c r="A9" s="4">
        <v>7.0</v>
      </c>
      <c r="B9" s="4" t="s">
        <v>95</v>
      </c>
      <c r="C9" s="4" t="s">
        <v>62</v>
      </c>
      <c r="D9" s="10" t="str">
        <f t="shared" si="1"/>
        <v/>
      </c>
      <c r="E9" s="4" t="s">
        <v>62</v>
      </c>
      <c r="F9" s="10" t="str">
        <f t="shared" si="2"/>
        <v/>
      </c>
      <c r="K9" s="8"/>
      <c r="M9" s="8"/>
    </row>
    <row r="10">
      <c r="A10" s="4">
        <v>8.0</v>
      </c>
      <c r="B10" s="6" t="s">
        <v>108</v>
      </c>
      <c r="C10" s="4" t="s">
        <v>62</v>
      </c>
      <c r="D10" s="10" t="str">
        <f t="shared" si="1"/>
        <v/>
      </c>
      <c r="E10" s="4" t="s">
        <v>62</v>
      </c>
      <c r="F10" s="10" t="str">
        <f t="shared" si="2"/>
        <v/>
      </c>
      <c r="K10" s="8"/>
      <c r="M10" s="8"/>
    </row>
    <row r="11">
      <c r="A11" s="4">
        <v>9.0</v>
      </c>
      <c r="B11" s="6" t="s">
        <v>120</v>
      </c>
      <c r="C11" s="4" t="s">
        <v>62</v>
      </c>
      <c r="D11" s="10" t="str">
        <f t="shared" si="1"/>
        <v/>
      </c>
      <c r="E11" s="4" t="s">
        <v>62</v>
      </c>
      <c r="F11" s="10" t="str">
        <f t="shared" si="2"/>
        <v/>
      </c>
      <c r="K11" s="8"/>
      <c r="M11" s="8"/>
    </row>
    <row r="12">
      <c r="A12" s="4">
        <v>10.0</v>
      </c>
      <c r="B12" s="4" t="s">
        <v>137</v>
      </c>
      <c r="C12" s="4" t="s">
        <v>62</v>
      </c>
      <c r="D12" s="10" t="str">
        <f t="shared" si="1"/>
        <v/>
      </c>
      <c r="E12" s="4" t="s">
        <v>62</v>
      </c>
      <c r="F12" s="10" t="str">
        <f t="shared" si="2"/>
        <v/>
      </c>
      <c r="K12" s="8"/>
      <c r="M12" s="8"/>
    </row>
    <row r="13">
      <c r="A13" s="4">
        <v>11.0</v>
      </c>
      <c r="B13" s="4" t="s">
        <v>158</v>
      </c>
      <c r="C13" s="4" t="s">
        <v>62</v>
      </c>
      <c r="D13" s="10" t="str">
        <f t="shared" si="1"/>
        <v/>
      </c>
      <c r="E13" s="4" t="s">
        <v>62</v>
      </c>
      <c r="F13" s="10" t="str">
        <f t="shared" si="2"/>
        <v/>
      </c>
      <c r="K13" s="8"/>
      <c r="M13" s="8"/>
    </row>
    <row r="14">
      <c r="A14" s="4">
        <v>12.0</v>
      </c>
      <c r="B14" s="6" t="s">
        <v>171</v>
      </c>
      <c r="C14" s="4" t="s">
        <v>62</v>
      </c>
      <c r="D14" s="10" t="str">
        <f t="shared" si="1"/>
        <v/>
      </c>
      <c r="E14" s="4" t="s">
        <v>62</v>
      </c>
      <c r="F14" s="10" t="str">
        <f t="shared" si="2"/>
        <v/>
      </c>
      <c r="K14" s="8"/>
      <c r="M14" s="8"/>
    </row>
    <row r="15">
      <c r="A15" s="4">
        <v>13.0</v>
      </c>
      <c r="B15" s="6" t="s">
        <v>179</v>
      </c>
      <c r="C15" s="4" t="s">
        <v>62</v>
      </c>
      <c r="D15" s="10" t="str">
        <f t="shared" si="1"/>
        <v/>
      </c>
      <c r="E15" s="4" t="s">
        <v>62</v>
      </c>
      <c r="F15" s="10" t="str">
        <f t="shared" si="2"/>
        <v/>
      </c>
      <c r="K15" s="8"/>
      <c r="M15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59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8.88"/>
  </cols>
  <sheetData>
    <row r="1">
      <c r="A1" s="11" t="s">
        <v>275</v>
      </c>
      <c r="B1" s="11" t="s">
        <v>280</v>
      </c>
      <c r="C1" s="11" t="s">
        <v>281</v>
      </c>
      <c r="D1" s="11" t="s">
        <v>283</v>
      </c>
      <c r="E1" s="11" t="s">
        <v>284</v>
      </c>
      <c r="F1" s="11" t="s">
        <v>285</v>
      </c>
      <c r="G1" s="11" t="s">
        <v>286</v>
      </c>
      <c r="H1" s="11" t="s">
        <v>288</v>
      </c>
      <c r="I1" s="11" t="s">
        <v>290</v>
      </c>
    </row>
    <row r="2">
      <c r="A2" s="4" t="s">
        <v>293</v>
      </c>
      <c r="B2" s="4" t="s">
        <v>294</v>
      </c>
      <c r="C2" s="4" t="s">
        <v>295</v>
      </c>
      <c r="D2" s="4" t="s">
        <v>296</v>
      </c>
      <c r="E2" s="4" t="s">
        <v>297</v>
      </c>
      <c r="F2" s="4" t="s">
        <v>298</v>
      </c>
      <c r="G2" s="4" t="s">
        <v>299</v>
      </c>
      <c r="H2" s="4" t="s">
        <v>300</v>
      </c>
      <c r="I2" s="4" t="s">
        <v>301</v>
      </c>
    </row>
    <row r="3">
      <c r="A3" s="4" t="s">
        <v>303</v>
      </c>
      <c r="B3" s="4" t="s">
        <v>304</v>
      </c>
      <c r="C3" s="4" t="s">
        <v>305</v>
      </c>
      <c r="D3" s="4" t="s">
        <v>307</v>
      </c>
      <c r="E3" s="4" t="s">
        <v>309</v>
      </c>
      <c r="F3" s="4" t="s">
        <v>310</v>
      </c>
      <c r="G3" s="4" t="s">
        <v>311</v>
      </c>
      <c r="H3" s="4" t="s">
        <v>312</v>
      </c>
      <c r="I3" s="4" t="s">
        <v>314</v>
      </c>
    </row>
    <row r="4">
      <c r="A4" s="4" t="s">
        <v>239</v>
      </c>
      <c r="B4" s="4" t="s">
        <v>317</v>
      </c>
      <c r="C4" s="4" t="s">
        <v>318</v>
      </c>
      <c r="D4" s="4" t="s">
        <v>319</v>
      </c>
      <c r="E4" s="4" t="s">
        <v>320</v>
      </c>
      <c r="F4" s="4" t="s">
        <v>321</v>
      </c>
      <c r="G4" s="4" t="s">
        <v>322</v>
      </c>
      <c r="H4" s="4" t="s">
        <v>323</v>
      </c>
      <c r="I4" s="4" t="s">
        <v>324</v>
      </c>
    </row>
    <row r="5">
      <c r="A5" s="4" t="s">
        <v>325</v>
      </c>
      <c r="B5" s="4" t="s">
        <v>202</v>
      </c>
      <c r="C5" s="4" t="s">
        <v>326</v>
      </c>
      <c r="D5" s="4" t="s">
        <v>327</v>
      </c>
      <c r="E5" s="4" t="s">
        <v>329</v>
      </c>
      <c r="F5" s="4" t="s">
        <v>330</v>
      </c>
      <c r="G5" s="4" t="s">
        <v>331</v>
      </c>
      <c r="H5" s="4" t="s">
        <v>332</v>
      </c>
      <c r="I5" s="4" t="s">
        <v>334</v>
      </c>
    </row>
    <row r="6">
      <c r="A6" s="4" t="s">
        <v>335</v>
      </c>
      <c r="B6" s="4" t="s">
        <v>336</v>
      </c>
      <c r="C6" s="4" t="s">
        <v>337</v>
      </c>
      <c r="D6" s="4" t="s">
        <v>339</v>
      </c>
      <c r="E6" s="4" t="s">
        <v>340</v>
      </c>
      <c r="F6" s="4" t="s">
        <v>342</v>
      </c>
      <c r="G6" s="4" t="s">
        <v>343</v>
      </c>
      <c r="H6" s="4" t="s">
        <v>345</v>
      </c>
      <c r="I6" s="4" t="s">
        <v>346</v>
      </c>
    </row>
    <row r="8">
      <c r="A8" s="12" t="s">
        <v>347</v>
      </c>
      <c r="B8" s="12"/>
      <c r="C8" s="12"/>
      <c r="D8" s="12"/>
      <c r="E8" s="12"/>
      <c r="F8" s="12"/>
      <c r="G8" s="12"/>
      <c r="H8" s="12"/>
      <c r="I8" s="12"/>
    </row>
    <row r="9">
      <c r="A9" s="4" t="s">
        <v>351</v>
      </c>
      <c r="B9" s="4" t="s">
        <v>354</v>
      </c>
    </row>
    <row r="10">
      <c r="A10" s="4" t="s">
        <v>355</v>
      </c>
      <c r="B10" s="4" t="s">
        <v>356</v>
      </c>
    </row>
    <row r="11">
      <c r="A11" s="4" t="s">
        <v>100</v>
      </c>
      <c r="B11" s="4" t="s">
        <v>357</v>
      </c>
    </row>
    <row r="12">
      <c r="A12" s="4" t="s">
        <v>358</v>
      </c>
      <c r="B12" s="4" t="s">
        <v>359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4C4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3.25"/>
    <col customWidth="1" min="4" max="4" width="45.13"/>
    <col customWidth="1" min="5" max="11" width="23.25"/>
  </cols>
  <sheetData>
    <row r="1">
      <c r="A1" s="14" t="s">
        <v>368</v>
      </c>
      <c r="B1" s="14" t="s">
        <v>19</v>
      </c>
      <c r="C1" s="14" t="s">
        <v>376</v>
      </c>
      <c r="D1" s="14" t="s">
        <v>378</v>
      </c>
      <c r="E1" s="14" t="s">
        <v>380</v>
      </c>
      <c r="F1" s="14" t="s">
        <v>383</v>
      </c>
      <c r="G1" s="14" t="s">
        <v>386</v>
      </c>
      <c r="H1" s="14" t="s">
        <v>387</v>
      </c>
      <c r="I1" s="14" t="s">
        <v>389</v>
      </c>
      <c r="J1" s="14" t="s">
        <v>391</v>
      </c>
      <c r="K1" s="14" t="s">
        <v>393</v>
      </c>
    </row>
    <row r="2">
      <c r="A2" s="4" t="s">
        <v>395</v>
      </c>
      <c r="B2" s="4" t="s">
        <v>53</v>
      </c>
      <c r="C2" s="4" t="s">
        <v>397</v>
      </c>
      <c r="D2" s="4" t="s">
        <v>400</v>
      </c>
      <c r="E2" s="4" t="s">
        <v>401</v>
      </c>
      <c r="F2" s="4" t="s">
        <v>403</v>
      </c>
      <c r="G2" s="4" t="s">
        <v>405</v>
      </c>
      <c r="H2" s="4" t="s">
        <v>408</v>
      </c>
      <c r="I2" s="4">
        <v>9.0</v>
      </c>
      <c r="J2" s="4" t="s">
        <v>411</v>
      </c>
    </row>
    <row r="3">
      <c r="A3" s="4" t="s">
        <v>413</v>
      </c>
      <c r="B3" s="4" t="s">
        <v>53</v>
      </c>
      <c r="C3" s="4" t="s">
        <v>397</v>
      </c>
      <c r="D3" s="4" t="s">
        <v>416</v>
      </c>
      <c r="E3" s="4" t="s">
        <v>417</v>
      </c>
      <c r="F3" s="4" t="s">
        <v>418</v>
      </c>
      <c r="G3" s="4" t="s">
        <v>405</v>
      </c>
      <c r="H3" s="4" t="s">
        <v>423</v>
      </c>
      <c r="I3" s="4">
        <v>9.0</v>
      </c>
      <c r="J3" s="4" t="s">
        <v>411</v>
      </c>
    </row>
    <row r="4">
      <c r="A4" s="4" t="s">
        <v>426</v>
      </c>
      <c r="B4" s="4" t="s">
        <v>53</v>
      </c>
      <c r="C4" s="4" t="s">
        <v>428</v>
      </c>
      <c r="D4" s="4" t="s">
        <v>430</v>
      </c>
      <c r="E4" s="4" t="s">
        <v>431</v>
      </c>
      <c r="F4" s="4" t="s">
        <v>433</v>
      </c>
      <c r="G4" s="4" t="s">
        <v>303</v>
      </c>
      <c r="H4" s="4" t="s">
        <v>423</v>
      </c>
      <c r="I4" s="4">
        <v>10.0</v>
      </c>
      <c r="J4" s="4" t="s">
        <v>411</v>
      </c>
    </row>
    <row r="5">
      <c r="A5" s="4" t="s">
        <v>440</v>
      </c>
      <c r="B5" s="4" t="s">
        <v>53</v>
      </c>
      <c r="C5" s="4" t="s">
        <v>397</v>
      </c>
      <c r="D5" s="4" t="s">
        <v>443</v>
      </c>
      <c r="E5" s="4" t="s">
        <v>444</v>
      </c>
      <c r="F5" s="4" t="s">
        <v>445</v>
      </c>
      <c r="G5" s="4" t="s">
        <v>303</v>
      </c>
      <c r="H5" s="4" t="s">
        <v>423</v>
      </c>
      <c r="I5" s="4">
        <v>9.0</v>
      </c>
      <c r="J5" s="4" t="s">
        <v>411</v>
      </c>
    </row>
    <row r="6">
      <c r="A6" s="4" t="s">
        <v>449</v>
      </c>
      <c r="B6" s="4" t="s">
        <v>84</v>
      </c>
      <c r="C6" s="4" t="s">
        <v>451</v>
      </c>
      <c r="D6" s="4" t="s">
        <v>452</v>
      </c>
      <c r="E6" s="4" t="s">
        <v>215</v>
      </c>
      <c r="F6" s="4" t="s">
        <v>455</v>
      </c>
      <c r="G6" s="4" t="s">
        <v>239</v>
      </c>
      <c r="H6" s="4" t="s">
        <v>423</v>
      </c>
      <c r="I6" s="4">
        <v>10.0</v>
      </c>
      <c r="J6" s="4" t="s">
        <v>411</v>
      </c>
    </row>
    <row r="7">
      <c r="A7" s="4" t="s">
        <v>459</v>
      </c>
      <c r="B7" s="4" t="s">
        <v>84</v>
      </c>
      <c r="C7" s="4" t="s">
        <v>461</v>
      </c>
      <c r="D7" s="4" t="s">
        <v>462</v>
      </c>
      <c r="E7" s="4" t="s">
        <v>463</v>
      </c>
      <c r="F7" s="4" t="s">
        <v>464</v>
      </c>
      <c r="G7" s="4" t="s">
        <v>239</v>
      </c>
      <c r="H7" s="4" t="s">
        <v>423</v>
      </c>
      <c r="I7" s="4">
        <v>9.0</v>
      </c>
      <c r="J7" s="4" t="s">
        <v>411</v>
      </c>
    </row>
    <row r="8">
      <c r="A8" s="4" t="s">
        <v>470</v>
      </c>
      <c r="B8" s="4" t="s">
        <v>84</v>
      </c>
      <c r="C8" s="4" t="s">
        <v>474</v>
      </c>
      <c r="D8" s="4" t="s">
        <v>476</v>
      </c>
      <c r="E8" s="4" t="s">
        <v>477</v>
      </c>
      <c r="F8" s="4" t="s">
        <v>478</v>
      </c>
      <c r="G8" s="4" t="s">
        <v>239</v>
      </c>
      <c r="H8" s="4" t="s">
        <v>423</v>
      </c>
      <c r="I8" s="4">
        <v>9.0</v>
      </c>
      <c r="J8" s="4" t="s">
        <v>411</v>
      </c>
    </row>
    <row r="9">
      <c r="A9" s="4" t="s">
        <v>482</v>
      </c>
      <c r="B9" s="4" t="s">
        <v>84</v>
      </c>
      <c r="C9" s="4" t="s">
        <v>461</v>
      </c>
      <c r="D9" s="4" t="s">
        <v>485</v>
      </c>
      <c r="E9" s="4" t="s">
        <v>487</v>
      </c>
      <c r="F9" s="4" t="s">
        <v>488</v>
      </c>
      <c r="G9" s="4" t="s">
        <v>239</v>
      </c>
      <c r="H9" s="4" t="s">
        <v>423</v>
      </c>
      <c r="I9" s="4">
        <v>9.0</v>
      </c>
      <c r="J9" s="4" t="s">
        <v>411</v>
      </c>
    </row>
    <row r="10">
      <c r="A10" s="4" t="s">
        <v>493</v>
      </c>
      <c r="B10" s="4" t="s">
        <v>84</v>
      </c>
      <c r="C10" s="4" t="s">
        <v>461</v>
      </c>
      <c r="D10" s="4" t="s">
        <v>494</v>
      </c>
      <c r="E10" s="4" t="s">
        <v>495</v>
      </c>
      <c r="F10" s="4" t="s">
        <v>496</v>
      </c>
      <c r="G10" s="4" t="s">
        <v>239</v>
      </c>
      <c r="H10" s="4" t="s">
        <v>423</v>
      </c>
      <c r="I10" s="4">
        <v>10.0</v>
      </c>
      <c r="J10" s="4" t="s">
        <v>411</v>
      </c>
    </row>
    <row r="11">
      <c r="A11" s="4" t="s">
        <v>499</v>
      </c>
      <c r="B11" s="4" t="s">
        <v>308</v>
      </c>
      <c r="C11" s="4" t="s">
        <v>397</v>
      </c>
      <c r="D11" s="4" t="s">
        <v>501</v>
      </c>
      <c r="E11" s="4" t="s">
        <v>503</v>
      </c>
      <c r="F11" s="4" t="s">
        <v>505</v>
      </c>
      <c r="G11" s="4" t="s">
        <v>335</v>
      </c>
      <c r="H11" s="4" t="s">
        <v>423</v>
      </c>
      <c r="I11" s="4">
        <v>9.0</v>
      </c>
      <c r="J11" s="4" t="s">
        <v>411</v>
      </c>
    </row>
    <row r="12">
      <c r="A12" s="4" t="s">
        <v>506</v>
      </c>
      <c r="B12" s="4" t="s">
        <v>308</v>
      </c>
      <c r="C12" s="4" t="s">
        <v>397</v>
      </c>
      <c r="D12" s="4" t="s">
        <v>508</v>
      </c>
      <c r="E12" s="4" t="s">
        <v>509</v>
      </c>
      <c r="F12" s="4" t="s">
        <v>510</v>
      </c>
      <c r="G12" s="4" t="s">
        <v>335</v>
      </c>
      <c r="H12" s="4" t="s">
        <v>423</v>
      </c>
      <c r="I12" s="4">
        <v>8.0</v>
      </c>
      <c r="J12" s="4" t="s">
        <v>411</v>
      </c>
    </row>
    <row r="13">
      <c r="A13" s="4" t="s">
        <v>515</v>
      </c>
      <c r="B13" s="4" t="s">
        <v>308</v>
      </c>
      <c r="C13" s="4" t="s">
        <v>461</v>
      </c>
      <c r="D13" s="4" t="s">
        <v>516</v>
      </c>
      <c r="E13" s="4" t="s">
        <v>517</v>
      </c>
      <c r="F13" s="4" t="s">
        <v>518</v>
      </c>
      <c r="G13" s="4" t="s">
        <v>335</v>
      </c>
      <c r="H13" s="4" t="s">
        <v>423</v>
      </c>
      <c r="I13" s="4">
        <v>9.0</v>
      </c>
      <c r="J13" s="4" t="s">
        <v>411</v>
      </c>
    </row>
    <row r="14">
      <c r="A14" s="4" t="s">
        <v>520</v>
      </c>
      <c r="B14" s="4" t="s">
        <v>308</v>
      </c>
      <c r="C14" s="4" t="s">
        <v>461</v>
      </c>
      <c r="D14" s="4" t="s">
        <v>522</v>
      </c>
      <c r="E14" s="4" t="s">
        <v>524</v>
      </c>
      <c r="F14" s="4" t="s">
        <v>526</v>
      </c>
      <c r="G14" s="4" t="s">
        <v>335</v>
      </c>
      <c r="H14" s="4" t="s">
        <v>423</v>
      </c>
      <c r="I14" s="4">
        <v>9.0</v>
      </c>
      <c r="J14" s="4" t="s">
        <v>411</v>
      </c>
    </row>
    <row r="15">
      <c r="A15" s="4" t="s">
        <v>528</v>
      </c>
      <c r="B15" s="4" t="s">
        <v>53</v>
      </c>
      <c r="C15" s="4" t="s">
        <v>397</v>
      </c>
      <c r="D15" s="4" t="s">
        <v>529</v>
      </c>
      <c r="E15" s="4" t="s">
        <v>530</v>
      </c>
      <c r="F15" s="4" t="s">
        <v>532</v>
      </c>
      <c r="G15" s="4" t="s">
        <v>533</v>
      </c>
      <c r="H15" s="4" t="s">
        <v>408</v>
      </c>
      <c r="I15" s="4">
        <v>9.0</v>
      </c>
      <c r="J15" s="4" t="s">
        <v>411</v>
      </c>
    </row>
    <row r="16">
      <c r="A16" s="4" t="s">
        <v>536</v>
      </c>
      <c r="B16" s="4" t="s">
        <v>53</v>
      </c>
      <c r="C16" s="4" t="s">
        <v>461</v>
      </c>
      <c r="D16" s="4" t="s">
        <v>539</v>
      </c>
      <c r="E16" s="4" t="s">
        <v>540</v>
      </c>
      <c r="F16" s="4" t="s">
        <v>541</v>
      </c>
      <c r="G16" s="4" t="s">
        <v>533</v>
      </c>
      <c r="H16" s="4" t="s">
        <v>423</v>
      </c>
      <c r="I16" s="4">
        <v>10.0</v>
      </c>
      <c r="J16" s="4" t="s">
        <v>411</v>
      </c>
    </row>
    <row r="17">
      <c r="A17" s="4" t="s">
        <v>542</v>
      </c>
      <c r="B17" s="4" t="s">
        <v>53</v>
      </c>
      <c r="C17" s="4" t="s">
        <v>428</v>
      </c>
      <c r="D17" s="4" t="s">
        <v>544</v>
      </c>
      <c r="E17" s="4" t="s">
        <v>546</v>
      </c>
      <c r="F17" s="4" t="s">
        <v>547</v>
      </c>
      <c r="G17" s="4" t="s">
        <v>533</v>
      </c>
      <c r="H17" s="4" t="s">
        <v>408</v>
      </c>
      <c r="I17" s="4">
        <v>9.0</v>
      </c>
      <c r="J17" s="4" t="s">
        <v>411</v>
      </c>
    </row>
    <row r="18">
      <c r="A18" s="4" t="s">
        <v>551</v>
      </c>
      <c r="B18" s="4" t="s">
        <v>202</v>
      </c>
      <c r="C18" s="4" t="s">
        <v>461</v>
      </c>
      <c r="D18" s="4" t="s">
        <v>552</v>
      </c>
      <c r="E18" s="4" t="s">
        <v>553</v>
      </c>
      <c r="F18" s="4" t="s">
        <v>554</v>
      </c>
      <c r="G18" s="4" t="s">
        <v>325</v>
      </c>
      <c r="H18" s="4" t="s">
        <v>423</v>
      </c>
      <c r="I18" s="4">
        <v>9.0</v>
      </c>
      <c r="J18" s="4" t="s">
        <v>411</v>
      </c>
    </row>
    <row r="19">
      <c r="A19" s="4" t="s">
        <v>556</v>
      </c>
      <c r="B19" s="4" t="s">
        <v>202</v>
      </c>
      <c r="C19" s="4" t="s">
        <v>461</v>
      </c>
      <c r="D19" s="4" t="s">
        <v>559</v>
      </c>
      <c r="E19" s="4" t="s">
        <v>561</v>
      </c>
      <c r="F19" s="4" t="s">
        <v>563</v>
      </c>
      <c r="G19" s="4" t="s">
        <v>325</v>
      </c>
      <c r="H19" s="4" t="s">
        <v>423</v>
      </c>
      <c r="I19" s="4">
        <v>10.0</v>
      </c>
      <c r="J19" s="4" t="s">
        <v>411</v>
      </c>
    </row>
    <row r="20">
      <c r="A20" s="4" t="s">
        <v>564</v>
      </c>
      <c r="B20" s="4" t="s">
        <v>53</v>
      </c>
      <c r="C20" s="4" t="s">
        <v>397</v>
      </c>
      <c r="D20" s="4" t="s">
        <v>565</v>
      </c>
      <c r="E20" s="4" t="s">
        <v>566</v>
      </c>
      <c r="F20" s="4" t="s">
        <v>567</v>
      </c>
      <c r="G20" s="4" t="s">
        <v>533</v>
      </c>
      <c r="H20" s="4" t="s">
        <v>423</v>
      </c>
      <c r="I20" s="4">
        <v>8.0</v>
      </c>
      <c r="J20" s="4" t="s">
        <v>568</v>
      </c>
    </row>
    <row r="21">
      <c r="A21" s="4" t="s">
        <v>569</v>
      </c>
      <c r="B21" s="4" t="s">
        <v>53</v>
      </c>
      <c r="C21" s="4" t="s">
        <v>397</v>
      </c>
      <c r="D21" s="4" t="s">
        <v>570</v>
      </c>
      <c r="E21" s="4" t="s">
        <v>571</v>
      </c>
      <c r="F21" s="4" t="s">
        <v>572</v>
      </c>
      <c r="G21" s="4" t="s">
        <v>533</v>
      </c>
      <c r="H21" s="4" t="s">
        <v>423</v>
      </c>
      <c r="I21" s="4">
        <v>10.0</v>
      </c>
      <c r="J21" s="4" t="s">
        <v>411</v>
      </c>
    </row>
    <row r="22">
      <c r="J22" s="10"/>
    </row>
    <row r="23">
      <c r="J23" s="10"/>
    </row>
    <row r="24">
      <c r="J24" s="10"/>
    </row>
    <row r="25">
      <c r="J25" s="10"/>
    </row>
    <row r="26">
      <c r="J26" s="10"/>
    </row>
    <row r="27">
      <c r="J27" s="10"/>
    </row>
    <row r="28">
      <c r="J28" s="10"/>
    </row>
    <row r="29">
      <c r="J29" s="10"/>
    </row>
    <row r="30">
      <c r="J30" s="10"/>
    </row>
    <row r="31">
      <c r="J31" s="10"/>
    </row>
    <row r="32">
      <c r="J32" s="10"/>
    </row>
    <row r="33">
      <c r="J33" s="10"/>
    </row>
    <row r="34">
      <c r="J34" s="10"/>
    </row>
    <row r="35">
      <c r="J35" s="10"/>
    </row>
    <row r="36">
      <c r="J36" s="10"/>
    </row>
    <row r="37">
      <c r="J37" s="10"/>
    </row>
    <row r="38">
      <c r="J38" s="10"/>
    </row>
    <row r="39">
      <c r="J39" s="10"/>
    </row>
    <row r="40">
      <c r="J40" s="10"/>
    </row>
    <row r="41">
      <c r="J41" s="10"/>
    </row>
    <row r="42">
      <c r="J42" s="10"/>
    </row>
    <row r="43">
      <c r="J43" s="10"/>
    </row>
    <row r="44">
      <c r="J44" s="10"/>
    </row>
    <row r="45">
      <c r="J45" s="10"/>
    </row>
    <row r="46">
      <c r="J46" s="10"/>
    </row>
    <row r="47">
      <c r="J47" s="10"/>
    </row>
    <row r="48">
      <c r="J48" s="10"/>
    </row>
    <row r="49">
      <c r="J49" s="10"/>
    </row>
    <row r="50">
      <c r="J50" s="10"/>
    </row>
    <row r="51">
      <c r="J51" s="10"/>
    </row>
    <row r="52">
      <c r="J52" s="10"/>
    </row>
    <row r="53">
      <c r="J53" s="10"/>
    </row>
    <row r="54">
      <c r="J54" s="10"/>
    </row>
    <row r="55">
      <c r="J55" s="10"/>
    </row>
    <row r="56">
      <c r="J56" s="10"/>
    </row>
    <row r="57">
      <c r="J57" s="10"/>
    </row>
    <row r="58">
      <c r="J58" s="10"/>
    </row>
    <row r="59">
      <c r="J59" s="10"/>
    </row>
    <row r="60">
      <c r="J60" s="10"/>
    </row>
    <row r="61">
      <c r="J61" s="10"/>
    </row>
    <row r="62">
      <c r="J62" s="10"/>
    </row>
    <row r="63">
      <c r="J63" s="10"/>
    </row>
    <row r="64">
      <c r="J64" s="10"/>
    </row>
    <row r="65">
      <c r="J65" s="10"/>
    </row>
    <row r="66">
      <c r="J66" s="10"/>
    </row>
    <row r="67">
      <c r="J67" s="10"/>
    </row>
    <row r="68">
      <c r="J68" s="10"/>
    </row>
    <row r="69">
      <c r="J69" s="10"/>
    </row>
    <row r="70">
      <c r="J70" s="10"/>
    </row>
    <row r="71">
      <c r="J71" s="10"/>
    </row>
    <row r="72">
      <c r="J72" s="10"/>
    </row>
    <row r="73">
      <c r="J73" s="10"/>
    </row>
    <row r="74">
      <c r="J74" s="10"/>
    </row>
    <row r="75">
      <c r="J75" s="10"/>
    </row>
    <row r="76">
      <c r="J76" s="10"/>
    </row>
    <row r="77">
      <c r="J77" s="10"/>
    </row>
    <row r="78">
      <c r="J78" s="10"/>
    </row>
    <row r="79">
      <c r="J79" s="10"/>
    </row>
    <row r="80">
      <c r="J80" s="10"/>
    </row>
    <row r="81">
      <c r="J81" s="10"/>
    </row>
    <row r="82">
      <c r="J82" s="10"/>
    </row>
    <row r="83">
      <c r="J83" s="10"/>
    </row>
    <row r="84">
      <c r="J84" s="10"/>
    </row>
    <row r="85">
      <c r="J85" s="10"/>
    </row>
    <row r="86">
      <c r="J86" s="10"/>
    </row>
    <row r="87">
      <c r="J87" s="10"/>
    </row>
    <row r="88">
      <c r="J88" s="10"/>
    </row>
    <row r="89">
      <c r="J89" s="10"/>
    </row>
    <row r="90">
      <c r="J90" s="10"/>
    </row>
    <row r="91">
      <c r="J91" s="10"/>
    </row>
    <row r="92">
      <c r="J92" s="10"/>
    </row>
    <row r="93">
      <c r="J93" s="10"/>
    </row>
    <row r="94">
      <c r="J94" s="10"/>
    </row>
    <row r="95">
      <c r="J95" s="10"/>
    </row>
    <row r="96">
      <c r="J96" s="10"/>
    </row>
    <row r="97">
      <c r="J97" s="10"/>
    </row>
    <row r="98">
      <c r="J98" s="10"/>
    </row>
    <row r="99">
      <c r="J99" s="10"/>
    </row>
    <row r="100">
      <c r="J100" s="10"/>
    </row>
  </sheetData>
  <dataValidations>
    <dataValidation type="list" allowBlank="1" showErrorMessage="1" sqref="J2:J100">
      <formula1>"Keep,Later,Drop,Testing"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4C4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1.38"/>
    <col customWidth="1" min="6" max="6" width="40.13"/>
  </cols>
  <sheetData>
    <row r="1">
      <c r="A1" s="13" t="s">
        <v>365</v>
      </c>
      <c r="B1" s="13" t="s">
        <v>372</v>
      </c>
      <c r="C1" s="13" t="s">
        <v>30</v>
      </c>
      <c r="D1" s="13" t="s">
        <v>373</v>
      </c>
      <c r="E1" s="13" t="s">
        <v>13</v>
      </c>
      <c r="F1" s="13" t="s">
        <v>374</v>
      </c>
    </row>
    <row r="2">
      <c r="A2" s="4" t="s">
        <v>377</v>
      </c>
      <c r="B2" s="4" t="s">
        <v>379</v>
      </c>
      <c r="C2" s="4" t="s">
        <v>58</v>
      </c>
      <c r="D2" s="4" t="s">
        <v>384</v>
      </c>
      <c r="E2" s="4" t="s">
        <v>388</v>
      </c>
      <c r="F2" s="4" t="s">
        <v>390</v>
      </c>
    </row>
    <row r="3">
      <c r="A3" s="4" t="s">
        <v>392</v>
      </c>
      <c r="B3" s="4" t="s">
        <v>394</v>
      </c>
      <c r="C3" s="4" t="s">
        <v>58</v>
      </c>
      <c r="D3" s="4" t="s">
        <v>384</v>
      </c>
      <c r="E3" s="15" t="s">
        <v>399</v>
      </c>
    </row>
    <row r="4">
      <c r="A4" s="4" t="s">
        <v>407</v>
      </c>
      <c r="B4" s="4" t="s">
        <v>409</v>
      </c>
      <c r="C4" s="4" t="s">
        <v>170</v>
      </c>
      <c r="D4" s="4" t="s">
        <v>384</v>
      </c>
      <c r="E4" s="15" t="s">
        <v>399</v>
      </c>
    </row>
    <row r="5">
      <c r="A5" s="4" t="s">
        <v>410</v>
      </c>
      <c r="B5" s="4" t="s">
        <v>412</v>
      </c>
      <c r="C5" s="4" t="s">
        <v>58</v>
      </c>
      <c r="D5" s="4" t="s">
        <v>83</v>
      </c>
      <c r="E5" s="4" t="s">
        <v>388</v>
      </c>
    </row>
    <row r="6">
      <c r="A6" s="4" t="s">
        <v>419</v>
      </c>
      <c r="B6" s="4" t="s">
        <v>421</v>
      </c>
      <c r="C6" s="4" t="s">
        <v>170</v>
      </c>
      <c r="D6" s="4" t="s">
        <v>83</v>
      </c>
      <c r="E6" s="15" t="s">
        <v>399</v>
      </c>
    </row>
    <row r="7">
      <c r="A7" s="4" t="s">
        <v>425</v>
      </c>
      <c r="B7" s="4" t="s">
        <v>427</v>
      </c>
      <c r="C7" s="4" t="s">
        <v>58</v>
      </c>
      <c r="D7" s="4" t="s">
        <v>429</v>
      </c>
      <c r="E7" s="15" t="s">
        <v>399</v>
      </c>
    </row>
    <row r="8">
      <c r="A8" s="4" t="s">
        <v>434</v>
      </c>
      <c r="B8" s="4" t="s">
        <v>435</v>
      </c>
      <c r="C8" s="4" t="s">
        <v>58</v>
      </c>
      <c r="D8" s="4" t="s">
        <v>18</v>
      </c>
      <c r="E8" s="4" t="s">
        <v>388</v>
      </c>
    </row>
    <row r="9">
      <c r="A9" s="4" t="s">
        <v>439</v>
      </c>
      <c r="B9" s="4" t="s">
        <v>442</v>
      </c>
      <c r="C9" s="4" t="s">
        <v>170</v>
      </c>
      <c r="D9" s="4" t="s">
        <v>45</v>
      </c>
      <c r="E9" s="4" t="s">
        <v>388</v>
      </c>
    </row>
    <row r="10">
      <c r="A10" s="4" t="s">
        <v>446</v>
      </c>
      <c r="B10" s="4" t="s">
        <v>447</v>
      </c>
      <c r="C10" s="4" t="s">
        <v>58</v>
      </c>
      <c r="D10" s="4" t="s">
        <v>18</v>
      </c>
      <c r="E10" s="4" t="s">
        <v>388</v>
      </c>
    </row>
    <row r="11">
      <c r="A11" s="4" t="s">
        <v>380</v>
      </c>
      <c r="B11" s="4" t="s">
        <v>454</v>
      </c>
      <c r="C11" s="4" t="s">
        <v>58</v>
      </c>
      <c r="D11" s="4" t="s">
        <v>44</v>
      </c>
      <c r="E11" s="4" t="s">
        <v>388</v>
      </c>
    </row>
    <row r="12">
      <c r="A12" s="4" t="s">
        <v>458</v>
      </c>
      <c r="B12" s="4" t="s">
        <v>460</v>
      </c>
      <c r="C12" s="4" t="s">
        <v>58</v>
      </c>
      <c r="D12" s="4" t="s">
        <v>44</v>
      </c>
      <c r="E12" s="4" t="s">
        <v>388</v>
      </c>
    </row>
    <row r="13">
      <c r="A13" s="4" t="s">
        <v>466</v>
      </c>
      <c r="B13" s="4" t="s">
        <v>467</v>
      </c>
      <c r="C13" s="4" t="s">
        <v>58</v>
      </c>
      <c r="D13" s="4" t="s">
        <v>44</v>
      </c>
      <c r="E13" s="4" t="s">
        <v>388</v>
      </c>
    </row>
    <row r="14">
      <c r="A14" s="4" t="s">
        <v>471</v>
      </c>
      <c r="B14" s="4" t="s">
        <v>473</v>
      </c>
      <c r="C14" s="4" t="s">
        <v>58</v>
      </c>
      <c r="D14" s="4" t="s">
        <v>44</v>
      </c>
      <c r="E14" s="4" t="s">
        <v>388</v>
      </c>
    </row>
    <row r="15">
      <c r="A15" s="4" t="s">
        <v>479</v>
      </c>
      <c r="B15" s="4" t="s">
        <v>480</v>
      </c>
      <c r="C15" s="4" t="s">
        <v>481</v>
      </c>
      <c r="D15" s="4" t="s">
        <v>59</v>
      </c>
      <c r="E15" s="4" t="s">
        <v>388</v>
      </c>
    </row>
    <row r="16">
      <c r="A16" s="4" t="s">
        <v>484</v>
      </c>
      <c r="B16" s="4" t="s">
        <v>486</v>
      </c>
      <c r="C16" s="4" t="s">
        <v>58</v>
      </c>
      <c r="D16" s="4" t="s">
        <v>489</v>
      </c>
      <c r="E16" s="4" t="s">
        <v>388</v>
      </c>
    </row>
    <row r="17">
      <c r="E17" s="10"/>
    </row>
    <row r="18">
      <c r="E18" s="10"/>
    </row>
    <row r="19">
      <c r="E19" s="10"/>
    </row>
    <row r="20">
      <c r="E20" s="10"/>
    </row>
    <row r="21">
      <c r="E21" s="10"/>
    </row>
    <row r="22">
      <c r="E22" s="10"/>
    </row>
    <row r="23">
      <c r="E23" s="10"/>
    </row>
    <row r="24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</sheetData>
  <dataValidations>
    <dataValidation type="list" allowBlank="1" showErrorMessage="1" sqref="E2:E60">
      <formula1>"To Do,Doing,Done,Skip"</formula1>
    </dataValidation>
  </dataValidations>
  <drawing r:id="rId1"/>
</worksheet>
</file>